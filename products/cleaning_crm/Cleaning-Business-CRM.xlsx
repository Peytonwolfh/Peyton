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Clients" sheetId="3" state="visible" r:id="rId3"/>
    <sheet name="Job Details" sheetId="4" state="visible" r:id="rId4"/>
    <sheet name="Schedule" sheetId="5" state="visible" r:id="rId5"/>
    <sheet name="Invoices &amp; Payments" sheetId="6" state="visible" r:id="rId6"/>
    <sheet name="Services &amp; Rates" sheetId="7" state="visible" r:id="rId7"/>
  </sheets>
  <definedNames>
    <definedName name="ClientList">'Clients'!$A$2:$A$200</definedName>
    <definedName name="ServiceList">'Services &amp; Rates'!$A$2:$A$30</definedName>
  </definedNames>
  <calcPr calcId="124519" fullCalcOnLoad="1"/>
</workbook>
</file>

<file path=xl/styles.xml><?xml version="1.0" encoding="utf-8"?>
<styleSheet xmlns="http://schemas.openxmlformats.org/spreadsheetml/2006/main">
  <numFmts count="2">
    <numFmt numFmtId="164" formatCode="&quot;$&quot;#,##0.00"/>
    <numFmt numFmtId="165" formatCode="mm/dd/yyyy"/>
  </numFmts>
  <fonts count="15">
    <font>
      <name val="Calibri"/>
      <family val="2"/>
      <color theme="1"/>
      <sz val="11"/>
      <scheme val="minor"/>
    </font>
    <font>
      <b val="1"/>
      <color rgb="00FFFFFF"/>
      <sz val="16"/>
    </font>
    <font>
      <color rgb="00232829"/>
      <sz val="11"/>
    </font>
    <font>
      <b val="1"/>
      <color rgb="00FFFFFF"/>
      <sz val="12"/>
    </font>
    <font>
      <i val="1"/>
      <color rgb="00232829"/>
      <sz val="11"/>
    </font>
    <font>
      <i val="1"/>
      <color rgb="006D6D6D"/>
      <sz val="10"/>
    </font>
    <font>
      <b val="1"/>
      <color rgb="00FFFFFF"/>
      <sz val="9"/>
    </font>
    <font>
      <b val="1"/>
      <color rgb="00232829"/>
      <sz val="22"/>
    </font>
    <font>
      <b val="1"/>
      <color rgb="004A7196"/>
      <sz val="10"/>
    </font>
    <font>
      <b val="1"/>
      <color rgb="004A7196"/>
      <sz val="11"/>
    </font>
    <font>
      <i val="1"/>
      <color rgb="006D6D6D"/>
      <sz val="8"/>
    </font>
    <font>
      <color rgb="006D6D6D"/>
      <sz val="8"/>
    </font>
    <font>
      <i val="1"/>
      <color rgb="006D6D6D"/>
      <sz val="9"/>
    </font>
    <font>
      <name val="Calibri"/>
      <b val="1"/>
      <color rgb="00FFFFFF"/>
      <sz val="11"/>
    </font>
    <font>
      <name val="Calibri"/>
      <i val="1"/>
      <color rgb="006D6D6D"/>
      <sz val="11"/>
    </font>
  </fonts>
  <fills count="10">
    <fill>
      <patternFill/>
    </fill>
    <fill>
      <patternFill patternType="gray125"/>
    </fill>
    <fill>
      <patternFill patternType="solid">
        <fgColor rgb="00232829"/>
      </patternFill>
    </fill>
    <fill>
      <patternFill patternType="solid">
        <fgColor rgb="00FAFCFE"/>
      </patternFill>
    </fill>
    <fill>
      <patternFill patternType="solid">
        <fgColor rgb="004A7196"/>
      </patternFill>
    </fill>
    <fill>
      <patternFill patternType="solid">
        <fgColor rgb="00ECEFF1"/>
      </patternFill>
    </fill>
    <fill>
      <patternFill patternType="solid">
        <fgColor rgb="00E4EDF3"/>
      </patternFill>
    </fill>
    <fill>
      <patternFill patternType="solid">
        <fgColor rgb="002E3436"/>
      </patternFill>
    </fill>
    <fill>
      <patternFill patternType="solid">
        <fgColor rgb="00F1F6FA"/>
      </patternFill>
    </fill>
    <fill>
      <patternFill patternType="solid">
        <fgColor rgb="00FFFFFF"/>
      </patternFill>
    </fill>
  </fills>
  <borders count="2">
    <border>
      <left/>
      <right/>
      <top/>
      <bottom/>
      <diagonal/>
    </border>
    <border>
      <left style="thin">
        <color rgb="00D8E1E8"/>
      </left>
      <right style="thin">
        <color rgb="00D8E1E8"/>
      </right>
      <top style="thin">
        <color rgb="00D8E1E8"/>
      </top>
      <bottom style="thin">
        <color rgb="00D8E1E8"/>
      </bottom>
    </border>
  </borders>
  <cellStyleXfs count="1">
    <xf numFmtId="0" fontId="0" fillId="0" borderId="0"/>
  </cellStyleXfs>
  <cellXfs count="41">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top" wrapText="1" indent="1"/>
    </xf>
    <xf numFmtId="0" fontId="3" fillId="4" borderId="0" applyAlignment="1" pivotButton="0" quotePrefix="0" xfId="0">
      <alignment vertical="center" indent="1"/>
    </xf>
    <xf numFmtId="0" fontId="2" fillId="5" borderId="0" applyAlignment="1" pivotButton="0" quotePrefix="0" xfId="0">
      <alignment vertical="top" wrapText="1" indent="1"/>
    </xf>
    <xf numFmtId="0" fontId="4" fillId="3" borderId="0" applyAlignment="1" pivotButton="0" quotePrefix="0" xfId="0">
      <alignment vertical="top" wrapText="1" indent="1"/>
    </xf>
    <xf numFmtId="0" fontId="1" fillId="2" borderId="0" applyAlignment="1" pivotButton="0" quotePrefix="0" xfId="0">
      <alignment horizontal="center" vertical="center"/>
    </xf>
    <xf numFmtId="0" fontId="0" fillId="2" borderId="0" pivotButton="0" quotePrefix="0" xfId="0"/>
    <xf numFmtId="0" fontId="5" fillId="0" borderId="0" pivotButton="0" quotePrefix="0" xfId="0"/>
    <xf numFmtId="0" fontId="6" fillId="4" borderId="0" applyAlignment="1" pivotButton="0" quotePrefix="0" xfId="0">
      <alignment horizontal="center" vertical="center"/>
    </xf>
    <xf numFmtId="0" fontId="0" fillId="4" borderId="0" pivotButton="0" quotePrefix="0" xfId="0"/>
    <xf numFmtId="1" fontId="7" fillId="6" borderId="0" applyAlignment="1" pivotButton="0" quotePrefix="0" xfId="0">
      <alignment horizontal="center" vertical="center"/>
    </xf>
    <xf numFmtId="0" fontId="0" fillId="6" borderId="0" pivotButton="0" quotePrefix="0" xfId="0"/>
    <xf numFmtId="164" fontId="7" fillId="6" borderId="0" applyAlignment="1" pivotButton="0" quotePrefix="0" xfId="0">
      <alignment horizontal="center" vertical="center"/>
    </xf>
    <xf numFmtId="0" fontId="3" fillId="7" borderId="0" applyAlignment="1" pivotButton="0" quotePrefix="0" xfId="0">
      <alignment horizontal="left" vertical="center" indent="1"/>
    </xf>
    <xf numFmtId="0" fontId="0" fillId="7" borderId="0" pivotButton="0" quotePrefix="0" xfId="0"/>
    <xf numFmtId="0" fontId="8" fillId="8" borderId="0" pivotButton="0" quotePrefix="0" xfId="0"/>
    <xf numFmtId="0" fontId="10" fillId="0" borderId="0" pivotButton="0" quotePrefix="0" xfId="0"/>
    <xf numFmtId="0" fontId="0" fillId="8" borderId="0" applyAlignment="1" pivotButton="0" quotePrefix="0" xfId="0">
      <alignment horizontal="center"/>
    </xf>
    <xf numFmtId="0" fontId="2" fillId="8" borderId="0" pivotButton="0" quotePrefix="0" xfId="0"/>
    <xf numFmtId="0" fontId="0" fillId="8" borderId="0" pivotButton="0" quotePrefix="0" xfId="0"/>
    <xf numFmtId="164" fontId="9" fillId="8" borderId="0" pivotButton="0" quotePrefix="0" xfId="0"/>
    <xf numFmtId="0" fontId="11" fillId="0" borderId="0" pivotButton="0" quotePrefix="0" xfId="0"/>
    <xf numFmtId="0" fontId="0" fillId="9" borderId="0" applyAlignment="1" pivotButton="0" quotePrefix="0" xfId="0">
      <alignment horizontal="center"/>
    </xf>
    <xf numFmtId="0" fontId="2" fillId="9" borderId="0" pivotButton="0" quotePrefix="0" xfId="0"/>
    <xf numFmtId="0" fontId="0" fillId="9" borderId="0" pivotButton="0" quotePrefix="0" xfId="0"/>
    <xf numFmtId="164" fontId="9" fillId="9" borderId="0" pivotButton="0" quotePrefix="0" xfId="0"/>
    <xf numFmtId="0" fontId="12" fillId="0" borderId="0" pivotButton="0" quotePrefix="0" xfId="0"/>
    <xf numFmtId="0" fontId="13" fillId="7" borderId="0" applyAlignment="1" pivotButton="0" quotePrefix="0" xfId="0">
      <alignment horizontal="center" vertical="center" wrapText="1"/>
    </xf>
    <xf numFmtId="0" fontId="14" fillId="0" borderId="0" pivotButton="0" quotePrefix="0" xfId="0"/>
    <xf numFmtId="164" fontId="14" fillId="0" borderId="0" pivotButton="0" quotePrefix="0" xfId="0"/>
    <xf numFmtId="164" fontId="0" fillId="0" borderId="0" pivotButton="0" quotePrefix="0" xfId="0"/>
    <xf numFmtId="165" fontId="14" fillId="0" borderId="0" pivotButton="0" quotePrefix="0" xfId="0"/>
    <xf numFmtId="164" fontId="14" fillId="5" borderId="0" pivotButton="0" quotePrefix="0" xfId="0"/>
    <xf numFmtId="165" fontId="14" fillId="5" borderId="0" pivotButton="0" quotePrefix="0" xfId="0"/>
    <xf numFmtId="165" fontId="0" fillId="0" borderId="0" pivotButton="0" quotePrefix="0" xfId="0"/>
    <xf numFmtId="164" fontId="0" fillId="5" borderId="0" pivotButton="0" quotePrefix="0" xfId="0"/>
    <xf numFmtId="165" fontId="0" fillId="5" borderId="0" pivotButton="0" quotePrefix="0" xfId="0"/>
    <xf numFmtId="0" fontId="0" fillId="0" borderId="1" pivotButton="0" quotePrefix="0" xfId="0"/>
    <xf numFmtId="164" fontId="0" fillId="0" borderId="1" pivotButton="0" quotePrefix="0" xfId="0"/>
    <xf numFmtId="0" fontId="5" fillId="0" borderId="0" applyAlignment="1" pivotButton="0" quotePrefix="0" xfId="0">
      <alignment vertical="top" wrapText="1"/>
    </xf>
  </cellXfs>
  <cellStyles count="1">
    <cellStyle name="Normal" xfId="0" builtinId="0" hidden="0"/>
  </cellStyles>
  <dxfs count="6">
    <dxf>
      <font>
        <b val="1"/>
        <color rgb="003E6B47"/>
      </font>
      <fill>
        <patternFill patternType="solid">
          <fgColor rgb="00DDEBD8"/>
        </patternFill>
      </fill>
    </dxf>
    <dxf>
      <font>
        <b val="1"/>
        <color rgb="008A6116"/>
      </font>
      <fill>
        <patternFill patternType="solid">
          <fgColor rgb="00FBEFD0"/>
        </patternFill>
      </fill>
    </dxf>
    <dxf>
      <font>
        <color rgb="009C2B23"/>
      </font>
      <fill>
        <patternFill patternType="solid">
          <fgColor rgb="00F6D9D5"/>
        </patternFill>
      </fill>
    </dxf>
    <dxf>
      <font>
        <b val="1"/>
        <color rgb="00232829"/>
      </font>
      <fill>
        <patternFill patternType="solid">
          <fgColor rgb="00E4EDF3"/>
        </patternFill>
      </fill>
    </dxf>
    <dxf>
      <font>
        <color rgb="003E6B47"/>
      </font>
      <fill>
        <patternFill patternType="solid">
          <fgColor rgb="00DDEBD8"/>
        </patternFill>
      </fill>
    </dxf>
    <dxf>
      <font>
        <color rgb="008A6116"/>
      </font>
      <fill>
        <patternFill patternType="solid">
          <fgColor rgb="00FBEF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A7196"/>
    <outlinePr summaryBelow="1" summaryRight="1"/>
    <pageSetUpPr/>
  </sheetPr>
  <dimension ref="B2:B33"/>
  <sheetViews>
    <sheetView showGridLines="0" workbookViewId="0">
      <selection activeCell="A1" sqref="A1"/>
    </sheetView>
  </sheetViews>
  <sheetFormatPr baseColWidth="8" defaultRowHeight="15"/>
  <cols>
    <col width="3" customWidth="1" min="1" max="1"/>
    <col width="100" customWidth="1" min="2" max="2"/>
    <col width="3" customWidth="1" min="3" max="3"/>
  </cols>
  <sheetData>
    <row r="2" ht="34" customHeight="1">
      <c r="B2" s="1" t="inlineStr">
        <is>
          <t>WELCOME TO YOUR CLEANING BUSINESS CLIENT CRM</t>
        </is>
      </c>
    </row>
    <row r="3" ht="44" customHeight="1">
      <c r="B3" s="2" t="inlineStr">
        <is>
          <t>Made for house cleaners, maid services and cleaning companies. Everything your business needs — clients, how to get into each home, the scope of each job, your schedule and your money — in one place. No apps, no monthly software fee, nothing to install.</t>
        </is>
      </c>
    </row>
    <row r="5" ht="24" customHeight="1">
      <c r="B5" s="3" t="inlineStr">
        <is>
          <t>STEP 1 — MAKE YOUR OWN COPY (do this first!)</t>
        </is>
      </c>
    </row>
    <row r="6" ht="58" customHeight="1">
      <c r="B6" s="2" t="inlineStr">
        <is>
          <t>USING GOOGLE SHEETS (free):  1. Go to sheets.google.com and sign in.  2. Click the folder icon (Open file picker), choose "Upload", and drop this file in.  3. It opens right in Google Sheets — then click File &gt; Save as Google Sheets so it lives in your Drive forever.</t>
        </is>
      </c>
    </row>
    <row r="7" ht="28" customHeight="1">
      <c r="B7" s="2" t="inlineStr">
        <is>
          <t>USING EXCEL:  just open the file and File &gt; Save As with your business name. Done.</t>
        </is>
      </c>
    </row>
    <row r="9" ht="24" customHeight="1">
      <c r="B9" s="3" t="inlineStr">
        <is>
          <t>STEP 2 — KNOW YOUR COLORS</t>
        </is>
      </c>
    </row>
    <row r="10" ht="20" customHeight="1">
      <c r="B10" s="2" t="inlineStr">
        <is>
          <t>WHITE cells = yours. Type anything.</t>
        </is>
      </c>
    </row>
    <row r="11" ht="44" customHeight="1">
      <c r="B11" s="4" t="inlineStr">
        <is>
          <t>LIGHT GRAY cells = the spreadsheet's. They calculate themselves (the rate on each clean, invoice totals, the Next Clean Due date, the whole Dashboard). Don't type in them — if you ever do by accident, just press Ctrl+Z (Cmd+Z on Mac).</t>
        </is>
      </c>
    </row>
    <row r="12" ht="30" customHeight="1">
      <c r="B12" s="2" t="inlineStr">
        <is>
          <t>Cells with a little arrow = dropdowns. Click the arrow and pick — never type these by hand, so names always match everywhere.</t>
        </is>
      </c>
    </row>
    <row r="14" ht="24" customHeight="1">
      <c r="B14" s="3" t="inlineStr">
        <is>
          <t>STEP 3 — SET UP IN THIS ORDER</t>
        </is>
      </c>
    </row>
    <row r="15" ht="44" customHeight="1">
      <c r="B15" s="2" t="inlineStr">
        <is>
          <t>1. SERVICES &amp; RATES — change the service names and prices to yours (Standard Clean, Deep Clean, Move-Out, your Recurring rate, your hourly rate, and add-ons like inside fridge / oven / windows). The Schedule tab fills in the price from this list automatically.</t>
        </is>
      </c>
    </row>
    <row r="16" ht="100" customHeight="1">
      <c r="B16" s="2" t="inlineStr">
        <is>
          <t>2. CLIENTS — one row per client. Phone, email, the service address, and the part free tools never have room for: HOW YOU GET IN. Key location, lockbox code, alarm code and garage code each get their own column. Also: pets on site, who supplies the products (and any allergies / scent rules), preferred contact and an Active / Inactive / Waitlist status. Tip: type the word CAUTION anywhere in "Pets on Site" or "Notes" and the whole row turns red — a loose dog or a finicky alarm is the last thing you want to forget on the doorstep.</t>
        </is>
      </c>
    </row>
    <row r="17" ht="72" customHeight="1">
      <c r="B17" s="2" t="inlineStr">
        <is>
          <t>3. JOB DETAILS — one row per home: bedrooms, bathrooms, square footage, your room-by-room scope, and the RECURRING CADENCE dropdown (Weekly / Biweekly / Monthly / One-off / Deep Clean). Set the flat rate and/or your hourly rate for that home. The cadence you pick here is what drives the "Next Clean Due" date over on the Schedule.</t>
        </is>
      </c>
    </row>
    <row r="18" ht="86" customHeight="1">
      <c r="B18" s="2" t="inlineStr">
        <is>
          <t>4. SCHEDULE — one row per clean. Pick the client and the service from dropdowns; the rate appears by itself. Mark Status = Done when the job is finished and Paid? = Yes when the money arrives. Today's cleans glow blue; finished-but-unpaid cleans turn red. The "Next Clean Due" date fills itself in from that home's cadence and turns amber when it's time to book the next visit.</t>
        </is>
      </c>
    </row>
    <row r="19" ht="44" customHeight="1">
      <c r="B19" s="2" t="inlineStr">
        <is>
          <t>5. INVOICES &amp; PAYMENTS — type an invoice number, pick the client, and type the period start and end dates. The totals add themselves up from the Schedule tab (completed cleans in that period; Balance Due counts only the unpaid ones).</t>
        </is>
      </c>
    </row>
    <row r="21" ht="24" customHeight="1">
      <c r="B21" s="3" t="inlineStr">
        <is>
          <t>A NOTE ON THE ACCESS CODES</t>
        </is>
      </c>
    </row>
    <row r="22" ht="58" customHeight="1">
      <c r="B22" s="2" t="inlineStr">
        <is>
          <t>This file holds lockbox, alarm and garage codes, so keep it private: don't share the sheet link publicly, and if you use Google Sheets leave it set to "Restricted / only you". It's the same information you already keep — just organized instead of on sticky notes.</t>
        </is>
      </c>
    </row>
    <row r="24" ht="24" customHeight="1">
      <c r="B24" s="3" t="inlineStr">
        <is>
          <t>THE SAMPLE ROWS</t>
        </is>
      </c>
    </row>
    <row r="25" ht="72" customHeight="1">
      <c r="B25" s="2" t="inlineStr">
        <is>
          <t>The gray italic rows (Sofia Delgado, Marcus Reilly, Priya Nadar and Aaron Brooks) are examples so you can see how everything works — including Priya's red CAUTION row (guard dog) and the amber "due" reminders. When you're ready: click the row number on the left, drag to select the sample rows, right-click, and choose "Delete rows". The formulas and dropdowns stay — only the example text goes.</t>
        </is>
      </c>
    </row>
    <row r="27" ht="24" customHeight="1">
      <c r="B27" s="3" t="inlineStr">
        <is>
          <t>ADDING MORE ROWS LATER</t>
        </is>
      </c>
    </row>
    <row r="28" ht="58" customHeight="1">
      <c r="B28" s="2" t="inlineStr">
        <is>
          <t>Formulas and dropdowns are already loaded far down each tab (Schedule to row 250, Invoices to row 100, Clients to row 200, Job Details to row 250). Just keep typing on the next empty line. If you ever fill a tab completely: select the last row, copy it, and paste it into the rows below — that carries the formulas down too.</t>
        </is>
      </c>
    </row>
    <row r="30" ht="24" customHeight="1">
      <c r="B30" s="3" t="inlineStr">
        <is>
          <t>THE DASHBOARD</t>
        </is>
      </c>
    </row>
    <row r="31" ht="44" customHeight="1">
      <c r="B31" s="2" t="inlineStr">
        <is>
          <t>100% automatic. Active clients, cleans this month, cleans this week, cleans today, unpaid balance, revenue this month and your top clients — it all updates the moment you edit the other tabs.</t>
        </is>
      </c>
    </row>
    <row r="33">
      <c r="B33" s="5" t="inlineStr">
        <is>
          <t xml:space="preserve">Questions? Message me on Etsy any time — happy to help.  Enjoy! </t>
        </is>
      </c>
    </row>
  </sheetData>
  <pageMargins left="0.75" right="0.75" top="1" bottom="1" header="0.5" footer="0.5"/>
</worksheet>
</file>

<file path=xl/worksheets/sheet2.xml><?xml version="1.0" encoding="utf-8"?>
<worksheet xmlns="http://schemas.openxmlformats.org/spreadsheetml/2006/main">
  <sheetPr>
    <tabColor rgb="00232829"/>
    <outlinePr summaryBelow="1" summaryRight="1"/>
    <pageSetUpPr/>
  </sheetPr>
  <dimension ref="B2:P33"/>
  <sheetViews>
    <sheetView showGridLines="0" workbookViewId="0">
      <selection activeCell="A1" sqref="A1"/>
    </sheetView>
  </sheetViews>
  <sheetFormatPr baseColWidth="8" defaultRowHeight="15"/>
  <cols>
    <col width="2" customWidth="1" min="1" max="1"/>
    <col width="13" customWidth="1" min="2" max="2"/>
    <col width="13" customWidth="1" min="3" max="3"/>
    <col width="2" customWidth="1" min="4" max="4"/>
    <col width="13" customWidth="1" min="5" max="5"/>
    <col width="13" customWidth="1" min="6" max="6"/>
    <col width="2" customWidth="1" min="7" max="7"/>
    <col width="13" customWidth="1" min="8" max="8"/>
    <col width="13" customWidth="1" min="9" max="9"/>
    <col width="2" customWidth="1" min="10" max="10"/>
    <col hidden="1" width="12" customWidth="1" min="15" max="15"/>
    <col hidden="1" width="18" customWidth="1" min="16" max="16"/>
  </cols>
  <sheetData>
    <row r="2" ht="30" customHeight="1">
      <c r="B2" s="6" t="inlineStr">
        <is>
          <t>CLEANING BUSINESS CLIENT CRM  —  DASHBOARD</t>
        </is>
      </c>
      <c r="C2" s="7" t="n"/>
      <c r="D2" s="7" t="n"/>
      <c r="E2" s="7" t="n"/>
      <c r="F2" s="7" t="n"/>
      <c r="G2" s="7" t="n"/>
      <c r="H2" s="7" t="n"/>
      <c r="I2" s="7" t="n"/>
    </row>
    <row r="3">
      <c r="B3" s="8">
        <f>"Everything on this page updates itself — nothing to type here.  Today: "&amp;TEXT(TODAY(),"mmm d, yyyy")</f>
        <v/>
      </c>
    </row>
    <row r="5">
      <c r="B5" s="9" t="inlineStr">
        <is>
          <t>ACTIVE CLIENTS</t>
        </is>
      </c>
      <c r="C5" s="10" t="n"/>
      <c r="E5" s="9" t="inlineStr">
        <is>
          <t>CLEANS THIS MONTH</t>
        </is>
      </c>
      <c r="F5" s="10" t="n"/>
      <c r="H5" s="9" t="inlineStr">
        <is>
          <t>CLEANS THIS WEEK</t>
        </is>
      </c>
      <c r="I5" s="10" t="n"/>
    </row>
    <row r="6" ht="40" customHeight="1">
      <c r="B6" s="11">
        <f>COUNTIF('Clients'!$M:$M,"Active")</f>
        <v/>
      </c>
      <c r="C6" s="12" t="n"/>
      <c r="E6" s="11">
        <f>COUNTIFS('Schedule'!$E:$E,"Done",'Schedule'!$A:$A,"&gt;="&amp;DATE(YEAR(TODAY()),MONTH(TODAY()),1),'Schedule'!$A:$A,"&lt;"&amp;DATE(YEAR(TODAY()),MONTH(TODAY())+1,1))</f>
        <v/>
      </c>
      <c r="F6" s="12" t="n"/>
      <c r="H6" s="11">
        <f>COUNTIFS('Schedule'!$A:$A,"&gt;="&amp;(TODAY()-WEEKDAY(TODAY(),2)+1),'Schedule'!$A:$A,"&lt;="&amp;(TODAY()-WEEKDAY(TODAY(),2)+1)+6,'Schedule'!$E:$E,"&lt;&gt;Cancelled")</f>
        <v/>
      </c>
      <c r="I6" s="12" t="n"/>
    </row>
    <row r="8">
      <c r="B8" s="9" t="inlineStr">
        <is>
          <t>CLEANS TODAY</t>
        </is>
      </c>
      <c r="C8" s="10" t="n"/>
      <c r="E8" s="9" t="inlineStr">
        <is>
          <t>REVENUE THIS MONTH</t>
        </is>
      </c>
      <c r="F8" s="10" t="n"/>
      <c r="H8" s="9" t="inlineStr">
        <is>
          <t>UNPAID BALANCE</t>
        </is>
      </c>
      <c r="I8" s="10" t="n"/>
    </row>
    <row r="9" ht="40" customHeight="1">
      <c r="B9" s="11">
        <f>COUNTIFS('Schedule'!$A:$A,TODAY(),'Schedule'!$E:$E,"&lt;&gt;Cancelled")</f>
        <v/>
      </c>
      <c r="C9" s="12" t="n"/>
      <c r="E9" s="13">
        <f>SUMIFS('Schedule'!$D:$D,'Schedule'!$E:$E,"Done",'Schedule'!$A:$A,"&gt;="&amp;DATE(YEAR(TODAY()),MONTH(TODAY()),1),'Schedule'!$A:$A,"&lt;"&amp;DATE(YEAR(TODAY()),MONTH(TODAY())+1,1))</f>
        <v/>
      </c>
      <c r="F9" s="12" t="n"/>
      <c r="H9" s="13">
        <f>SUMIFS('Schedule'!$D:$D,'Schedule'!$E:$E,"Done",'Schedule'!$F:$F,"&lt;&gt;Yes")</f>
        <v/>
      </c>
      <c r="I9" s="12" t="n"/>
    </row>
    <row r="12" ht="22" customHeight="1">
      <c r="B12" s="14" t="inlineStr">
        <is>
          <t>TOP CLIENTS  (completed cleans, all time)</t>
        </is>
      </c>
      <c r="C12" s="15" t="n"/>
      <c r="D12" s="15" t="n"/>
      <c r="E12" s="15" t="n"/>
      <c r="F12" s="15" t="n"/>
      <c r="G12" s="15" t="n"/>
      <c r="H12" s="15" t="n"/>
      <c r="I12" s="15" t="n"/>
    </row>
    <row r="13">
      <c r="B13" s="16" t="inlineStr">
        <is>
          <t>Rank</t>
        </is>
      </c>
      <c r="C13" s="16" t="inlineStr">
        <is>
          <t>Client</t>
        </is>
      </c>
      <c r="H13" s="16" t="inlineStr">
        <is>
          <t>Revenue</t>
        </is>
      </c>
      <c r="O13" s="17" t="inlineStr">
        <is>
          <t>engine ↓</t>
        </is>
      </c>
      <c r="P13" s="17" t="inlineStr">
        <is>
          <t>do not edit</t>
        </is>
      </c>
    </row>
    <row r="14">
      <c r="B14" s="18" t="n">
        <v>1</v>
      </c>
      <c r="C14" s="19">
        <f>IFERROR(INDEX($P$14:$P$33,MATCH(LARGE($O$14:$O$33,1),$O$14:$O$33,0)),"—")</f>
        <v/>
      </c>
      <c r="D14" s="20" t="n"/>
      <c r="E14" s="20" t="n"/>
      <c r="F14" s="20" t="n"/>
      <c r="G14" s="20" t="n"/>
      <c r="H14" s="21">
        <f>IFERROR(ROUND(LARGE($O$14:$O$33,1),2),"")</f>
        <v/>
      </c>
      <c r="I14" s="20" t="n"/>
      <c r="O14" s="22">
        <f>IF('Clients'!A2="","",SUMIFS('Schedule'!$D:$D,'Schedule'!$B:$B,'Clients'!A2,'Schedule'!$E:$E,"Done")+ROW()/10000000)</f>
        <v/>
      </c>
      <c r="P14" s="22">
        <f>IF($O14="","",'Clients'!A2)</f>
        <v/>
      </c>
    </row>
    <row r="15">
      <c r="B15" s="23" t="n">
        <v>2</v>
      </c>
      <c r="C15" s="24">
        <f>IFERROR(INDEX($P$14:$P$33,MATCH(LARGE($O$14:$O$33,2),$O$14:$O$33,0)),"—")</f>
        <v/>
      </c>
      <c r="D15" s="25" t="n"/>
      <c r="E15" s="25" t="n"/>
      <c r="F15" s="25" t="n"/>
      <c r="G15" s="25" t="n"/>
      <c r="H15" s="26">
        <f>IFERROR(ROUND(LARGE($O$14:$O$33,2),2),"")</f>
        <v/>
      </c>
      <c r="I15" s="25" t="n"/>
      <c r="O15" s="22">
        <f>IF('Clients'!A3="","",SUMIFS('Schedule'!$D:$D,'Schedule'!$B:$B,'Clients'!A3,'Schedule'!$E:$E,"Done")+ROW()/10000000)</f>
        <v/>
      </c>
      <c r="P15" s="22">
        <f>IF($O15="","",'Clients'!A3)</f>
        <v/>
      </c>
    </row>
    <row r="16">
      <c r="B16" s="18" t="n">
        <v>3</v>
      </c>
      <c r="C16" s="19">
        <f>IFERROR(INDEX($P$14:$P$33,MATCH(LARGE($O$14:$O$33,3),$O$14:$O$33,0)),"—")</f>
        <v/>
      </c>
      <c r="D16" s="20" t="n"/>
      <c r="E16" s="20" t="n"/>
      <c r="F16" s="20" t="n"/>
      <c r="G16" s="20" t="n"/>
      <c r="H16" s="21">
        <f>IFERROR(ROUND(LARGE($O$14:$O$33,3),2),"")</f>
        <v/>
      </c>
      <c r="I16" s="20" t="n"/>
      <c r="O16" s="22">
        <f>IF('Clients'!A4="","",SUMIFS('Schedule'!$D:$D,'Schedule'!$B:$B,'Clients'!A4,'Schedule'!$E:$E,"Done")+ROW()/10000000)</f>
        <v/>
      </c>
      <c r="P16" s="22">
        <f>IF($O16="","",'Clients'!A4)</f>
        <v/>
      </c>
    </row>
    <row r="17">
      <c r="B17" s="23" t="n">
        <v>4</v>
      </c>
      <c r="C17" s="24">
        <f>IFERROR(INDEX($P$14:$P$33,MATCH(LARGE($O$14:$O$33,4),$O$14:$O$33,0)),"—")</f>
        <v/>
      </c>
      <c r="D17" s="25" t="n"/>
      <c r="E17" s="25" t="n"/>
      <c r="F17" s="25" t="n"/>
      <c r="G17" s="25" t="n"/>
      <c r="H17" s="26">
        <f>IFERROR(ROUND(LARGE($O$14:$O$33,4),2),"")</f>
        <v/>
      </c>
      <c r="I17" s="25" t="n"/>
      <c r="O17" s="22">
        <f>IF('Clients'!A5="","",SUMIFS('Schedule'!$D:$D,'Schedule'!$B:$B,'Clients'!A5,'Schedule'!$E:$E,"Done")+ROW()/10000000)</f>
        <v/>
      </c>
      <c r="P17" s="22">
        <f>IF($O17="","",'Clients'!A5)</f>
        <v/>
      </c>
    </row>
    <row r="18">
      <c r="B18" s="18" t="n">
        <v>5</v>
      </c>
      <c r="C18" s="19">
        <f>IFERROR(INDEX($P$14:$P$33,MATCH(LARGE($O$14:$O$33,5),$O$14:$O$33,0)),"—")</f>
        <v/>
      </c>
      <c r="D18" s="20" t="n"/>
      <c r="E18" s="20" t="n"/>
      <c r="F18" s="20" t="n"/>
      <c r="G18" s="20" t="n"/>
      <c r="H18" s="21">
        <f>IFERROR(ROUND(LARGE($O$14:$O$33,5),2),"")</f>
        <v/>
      </c>
      <c r="I18" s="20" t="n"/>
      <c r="O18" s="22">
        <f>IF('Clients'!A6="","",SUMIFS('Schedule'!$D:$D,'Schedule'!$B:$B,'Clients'!A6,'Schedule'!$E:$E,"Done")+ROW()/10000000)</f>
        <v/>
      </c>
      <c r="P18" s="22">
        <f>IF($O18="","",'Clients'!A6)</f>
        <v/>
      </c>
    </row>
    <row r="19">
      <c r="O19" s="22">
        <f>IF('Clients'!A7="","",SUMIFS('Schedule'!$D:$D,'Schedule'!$B:$B,'Clients'!A7,'Schedule'!$E:$E,"Done")+ROW()/10000000)</f>
        <v/>
      </c>
      <c r="P19" s="22">
        <f>IF($O19="","",'Clients'!A7)</f>
        <v/>
      </c>
    </row>
    <row r="20">
      <c r="O20" s="22">
        <f>IF('Clients'!A8="","",SUMIFS('Schedule'!$D:$D,'Schedule'!$B:$B,'Clients'!A8,'Schedule'!$E:$E,"Done")+ROW()/10000000)</f>
        <v/>
      </c>
      <c r="P20" s="22">
        <f>IF($O20="","",'Clients'!A8)</f>
        <v/>
      </c>
    </row>
    <row r="21">
      <c r="B21" s="27" t="inlineStr">
        <is>
          <t>Top-client list scans your first 20 client rows. Hidden columns O-P do the math — leave them alone (Format &gt; Unhide if you're curious).</t>
        </is>
      </c>
      <c r="O21" s="22">
        <f>IF('Clients'!A9="","",SUMIFS('Schedule'!$D:$D,'Schedule'!$B:$B,'Clients'!A9,'Schedule'!$E:$E,"Done")+ROW()/10000000)</f>
        <v/>
      </c>
      <c r="P21" s="22">
        <f>IF($O21="","",'Clients'!A9)</f>
        <v/>
      </c>
    </row>
    <row r="22">
      <c r="O22" s="22">
        <f>IF('Clients'!A10="","",SUMIFS('Schedule'!$D:$D,'Schedule'!$B:$B,'Clients'!A10,'Schedule'!$E:$E,"Done")+ROW()/10000000)</f>
        <v/>
      </c>
      <c r="P22" s="22">
        <f>IF($O22="","",'Clients'!A10)</f>
        <v/>
      </c>
    </row>
    <row r="23">
      <c r="O23" s="22">
        <f>IF('Clients'!A11="","",SUMIFS('Schedule'!$D:$D,'Schedule'!$B:$B,'Clients'!A11,'Schedule'!$E:$E,"Done")+ROW()/10000000)</f>
        <v/>
      </c>
      <c r="P23" s="22">
        <f>IF($O23="","",'Clients'!A11)</f>
        <v/>
      </c>
    </row>
    <row r="24">
      <c r="O24" s="22">
        <f>IF('Clients'!A12="","",SUMIFS('Schedule'!$D:$D,'Schedule'!$B:$B,'Clients'!A12,'Schedule'!$E:$E,"Done")+ROW()/10000000)</f>
        <v/>
      </c>
      <c r="P24" s="22">
        <f>IF($O24="","",'Clients'!A12)</f>
        <v/>
      </c>
    </row>
    <row r="25">
      <c r="O25" s="22">
        <f>IF('Clients'!A13="","",SUMIFS('Schedule'!$D:$D,'Schedule'!$B:$B,'Clients'!A13,'Schedule'!$E:$E,"Done")+ROW()/10000000)</f>
        <v/>
      </c>
      <c r="P25" s="22">
        <f>IF($O25="","",'Clients'!A13)</f>
        <v/>
      </c>
    </row>
    <row r="26">
      <c r="O26" s="22">
        <f>IF('Clients'!A14="","",SUMIFS('Schedule'!$D:$D,'Schedule'!$B:$B,'Clients'!A14,'Schedule'!$E:$E,"Done")+ROW()/10000000)</f>
        <v/>
      </c>
      <c r="P26" s="22">
        <f>IF($O26="","",'Clients'!A14)</f>
        <v/>
      </c>
    </row>
    <row r="27">
      <c r="O27" s="22">
        <f>IF('Clients'!A15="","",SUMIFS('Schedule'!$D:$D,'Schedule'!$B:$B,'Clients'!A15,'Schedule'!$E:$E,"Done")+ROW()/10000000)</f>
        <v/>
      </c>
      <c r="P27" s="22">
        <f>IF($O27="","",'Clients'!A15)</f>
        <v/>
      </c>
    </row>
    <row r="28">
      <c r="O28" s="22">
        <f>IF('Clients'!A16="","",SUMIFS('Schedule'!$D:$D,'Schedule'!$B:$B,'Clients'!A16,'Schedule'!$E:$E,"Done")+ROW()/10000000)</f>
        <v/>
      </c>
      <c r="P28" s="22">
        <f>IF($O28="","",'Clients'!A16)</f>
        <v/>
      </c>
    </row>
    <row r="29">
      <c r="O29" s="22">
        <f>IF('Clients'!A17="","",SUMIFS('Schedule'!$D:$D,'Schedule'!$B:$B,'Clients'!A17,'Schedule'!$E:$E,"Done")+ROW()/10000000)</f>
        <v/>
      </c>
      <c r="P29" s="22">
        <f>IF($O29="","",'Clients'!A17)</f>
        <v/>
      </c>
    </row>
    <row r="30">
      <c r="O30" s="22">
        <f>IF('Clients'!A18="","",SUMIFS('Schedule'!$D:$D,'Schedule'!$B:$B,'Clients'!A18,'Schedule'!$E:$E,"Done")+ROW()/10000000)</f>
        <v/>
      </c>
      <c r="P30" s="22">
        <f>IF($O30="","",'Clients'!A18)</f>
        <v/>
      </c>
    </row>
    <row r="31">
      <c r="O31" s="22">
        <f>IF('Clients'!A19="","",SUMIFS('Schedule'!$D:$D,'Schedule'!$B:$B,'Clients'!A19,'Schedule'!$E:$E,"Done")+ROW()/10000000)</f>
        <v/>
      </c>
      <c r="P31" s="22">
        <f>IF($O31="","",'Clients'!A19)</f>
        <v/>
      </c>
    </row>
    <row r="32">
      <c r="O32" s="22">
        <f>IF('Clients'!A20="","",SUMIFS('Schedule'!$D:$D,'Schedule'!$B:$B,'Clients'!A20,'Schedule'!$E:$E,"Done")+ROW()/10000000)</f>
        <v/>
      </c>
      <c r="P32" s="22">
        <f>IF($O32="","",'Clients'!A20)</f>
        <v/>
      </c>
    </row>
    <row r="33">
      <c r="O33" s="22">
        <f>IF('Clients'!A21="","",SUMIFS('Schedule'!$D:$D,'Schedule'!$B:$B,'Clients'!A21,'Schedule'!$E:$E,"Done")+ROW()/10000000)</f>
        <v/>
      </c>
      <c r="P33" s="22">
        <f>IF($O33="","",'Clients'!A21)</f>
        <v/>
      </c>
    </row>
  </sheetData>
  <mergeCells count="27">
    <mergeCell ref="C15:G15"/>
    <mergeCell ref="E5:F5"/>
    <mergeCell ref="C14:G14"/>
    <mergeCell ref="H9:I9"/>
    <mergeCell ref="E8:F8"/>
    <mergeCell ref="B12:I12"/>
    <mergeCell ref="B21:I21"/>
    <mergeCell ref="H6:I6"/>
    <mergeCell ref="C16:G16"/>
    <mergeCell ref="B2:I2"/>
    <mergeCell ref="E9:F9"/>
    <mergeCell ref="B8:C8"/>
    <mergeCell ref="H17:I17"/>
    <mergeCell ref="E6:F6"/>
    <mergeCell ref="H16:I16"/>
    <mergeCell ref="B9:C9"/>
    <mergeCell ref="H13:I13"/>
    <mergeCell ref="H14:I14"/>
    <mergeCell ref="C17:G17"/>
    <mergeCell ref="B6:C6"/>
    <mergeCell ref="B5:C5"/>
    <mergeCell ref="H15:I15"/>
    <mergeCell ref="H18:I18"/>
    <mergeCell ref="H5:I5"/>
    <mergeCell ref="H8:I8"/>
    <mergeCell ref="C13:G13"/>
    <mergeCell ref="C18:G18"/>
  </mergeCells>
  <pageMargins left="0.75" right="0.75" top="1" bottom="1" header="0.5" footer="0.5"/>
</worksheet>
</file>

<file path=xl/worksheets/sheet3.xml><?xml version="1.0" encoding="utf-8"?>
<worksheet xmlns="http://schemas.openxmlformats.org/spreadsheetml/2006/main">
  <sheetPr>
    <tabColor rgb="006B93B3"/>
    <outlinePr summaryBelow="1" summaryRight="1"/>
    <pageSetUpPr/>
  </sheetPr>
  <dimension ref="A1:N200"/>
  <sheetViews>
    <sheetView workbookViewId="0">
      <pane ySplit="1" topLeftCell="A2" activePane="bottomLeft" state="frozen"/>
      <selection pane="bottomLeft" activeCell="A1" sqref="A1"/>
    </sheetView>
  </sheetViews>
  <sheetFormatPr baseColWidth="8" defaultRowHeight="15"/>
  <cols>
    <col width="22" customWidth="1" min="1" max="1"/>
    <col width="15" customWidth="1" min="2" max="2"/>
    <col width="24" customWidth="1" min="3" max="3"/>
    <col width="30" customWidth="1" min="4" max="4"/>
    <col width="27" customWidth="1" min="5" max="5"/>
    <col width="13" customWidth="1" min="6" max="6"/>
    <col width="15" customWidth="1" min="7" max="7"/>
    <col width="12" customWidth="1" min="8" max="8"/>
    <col width="26" customWidth="1" min="9" max="9"/>
    <col width="28" customWidth="1" min="10" max="10"/>
    <col width="15" customWidth="1" min="11" max="11"/>
    <col width="16" customWidth="1" min="12" max="12"/>
    <col width="12" customWidth="1" min="13" max="13"/>
    <col width="30" customWidth="1" min="14" max="14"/>
  </cols>
  <sheetData>
    <row r="1" ht="26" customHeight="1">
      <c r="A1" s="28" t="inlineStr">
        <is>
          <t>Client Name</t>
        </is>
      </c>
      <c r="B1" s="28" t="inlineStr">
        <is>
          <t>Phone</t>
        </is>
      </c>
      <c r="C1" s="28" t="inlineStr">
        <is>
          <t>Email</t>
        </is>
      </c>
      <c r="D1" s="28" t="inlineStr">
        <is>
          <t>Service Address</t>
        </is>
      </c>
      <c r="E1" s="28" t="inlineStr">
        <is>
          <t>Entry / Key Location</t>
        </is>
      </c>
      <c r="F1" s="28" t="inlineStr">
        <is>
          <t>Lockbox Code</t>
        </is>
      </c>
      <c r="G1" s="28" t="inlineStr">
        <is>
          <t>Alarm Code</t>
        </is>
      </c>
      <c r="H1" s="28" t="inlineStr">
        <is>
          <t>Garage Code</t>
        </is>
      </c>
      <c r="I1" s="28" t="inlineStr">
        <is>
          <t>Pets on Site</t>
        </is>
      </c>
      <c r="J1" s="28" t="inlineStr">
        <is>
          <t>Products / Allergies</t>
        </is>
      </c>
      <c r="K1" s="28" t="inlineStr">
        <is>
          <t>Who Supplies</t>
        </is>
      </c>
      <c r="L1" s="28" t="inlineStr">
        <is>
          <t>Preferred Contact</t>
        </is>
      </c>
      <c r="M1" s="28" t="inlineStr">
        <is>
          <t>Status</t>
        </is>
      </c>
      <c r="N1" s="28" t="inlineStr">
        <is>
          <t>Notes</t>
        </is>
      </c>
    </row>
    <row r="2">
      <c r="A2" s="29" t="inlineStr">
        <is>
          <t>Sofia Delgado</t>
        </is>
      </c>
      <c r="B2" s="29" t="inlineStr">
        <is>
          <t>(555) 233-9087</t>
        </is>
      </c>
      <c r="C2" s="29" t="inlineStr">
        <is>
          <t>sofia.d@example.com</t>
        </is>
      </c>
      <c r="D2" s="29" t="inlineStr">
        <is>
          <t>418 Maple Ct, Riverside</t>
        </is>
      </c>
      <c r="E2" s="29" t="inlineStr">
        <is>
          <t>Side gate — key under blue planter on back porch</t>
        </is>
      </c>
      <c r="F2" s="29" t="inlineStr">
        <is>
          <t>N/A</t>
        </is>
      </c>
      <c r="G2" s="29" t="inlineStr">
        <is>
          <t>2255 #</t>
        </is>
      </c>
      <c r="H2" s="29" t="inlineStr">
        <is>
          <t>1490</t>
        </is>
      </c>
      <c r="I2" s="29" t="inlineStr">
        <is>
          <t>Golden retriever 'Biscuit' — friendly, keep in the yard</t>
        </is>
      </c>
      <c r="J2" s="29" t="inlineStr">
        <is>
          <t>Client supplies; fragrance-free only (asthma)</t>
        </is>
      </c>
      <c r="K2" s="29" t="inlineStr">
        <is>
          <t>Client supplies</t>
        </is>
      </c>
      <c r="L2" s="29" t="inlineStr">
        <is>
          <t>Text</t>
        </is>
      </c>
      <c r="M2" s="29" t="inlineStr">
        <is>
          <t>Active</t>
        </is>
      </c>
      <c r="N2" s="29" t="inlineStr">
        <is>
          <t>Weekly, Fri mornings — SAMPLE ROW, delete me</t>
        </is>
      </c>
    </row>
    <row r="3">
      <c r="A3" s="29" t="inlineStr">
        <is>
          <t>Marcus Reilly</t>
        </is>
      </c>
      <c r="B3" s="29" t="inlineStr">
        <is>
          <t>(555) 661-2048</t>
        </is>
      </c>
      <c r="C3" s="29" t="inlineStr">
        <is>
          <t>marcus.r@example.com</t>
        </is>
      </c>
      <c r="D3" s="29" t="inlineStr">
        <is>
          <t>77 Birchwood Ln, Apt 3B</t>
        </is>
      </c>
      <c r="E3" s="29" t="inlineStr">
        <is>
          <t>Front desk holds a spare key — ask for unit 3B</t>
        </is>
      </c>
      <c r="F3" s="29" t="inlineStr">
        <is>
          <t>8830</t>
        </is>
      </c>
      <c r="G3" s="29" t="inlineStr">
        <is>
          <t>none</t>
        </is>
      </c>
      <c r="H3" s="29" t="inlineStr">
        <is>
          <t>none</t>
        </is>
      </c>
      <c r="I3" s="29" t="inlineStr">
        <is>
          <t>No pets</t>
        </is>
      </c>
      <c r="J3" s="29" t="inlineStr">
        <is>
          <t>I bring all supplies</t>
        </is>
      </c>
      <c r="K3" s="29" t="inlineStr">
        <is>
          <t>I supply</t>
        </is>
      </c>
      <c r="L3" s="29" t="inlineStr">
        <is>
          <t>Call</t>
        </is>
      </c>
      <c r="M3" s="29" t="inlineStr">
        <is>
          <t>Active</t>
        </is>
      </c>
      <c r="N3" s="29" t="inlineStr">
        <is>
          <t>Biweekly — elevator building — SAMPLE ROW, delete me</t>
        </is>
      </c>
    </row>
    <row r="4">
      <c r="A4" s="29" t="inlineStr">
        <is>
          <t>Priya Nadar</t>
        </is>
      </c>
      <c r="B4" s="29" t="inlineStr">
        <is>
          <t>(555) 902-7715</t>
        </is>
      </c>
      <c r="C4" s="29" t="inlineStr">
        <is>
          <t>priya.n@example.com</t>
        </is>
      </c>
      <c r="D4" s="29" t="inlineStr">
        <is>
          <t>1205 Kestrel Dr</t>
        </is>
      </c>
      <c r="E4" s="29" t="inlineStr">
        <is>
          <t>Lockbox on the hose bib, back patio</t>
        </is>
      </c>
      <c r="F4" s="29" t="inlineStr">
        <is>
          <t>5127</t>
        </is>
      </c>
      <c r="G4" s="29" t="inlineStr">
        <is>
          <t>4400 (code word: Willow)</t>
        </is>
      </c>
      <c r="H4" s="29" t="inlineStr">
        <is>
          <t>2213</t>
        </is>
      </c>
      <c r="I4" s="29" t="inlineStr">
        <is>
          <t>CAUTION: guard dog 'Rex' — owner MUST crate before each visit; do not enter the yard until confirmed</t>
        </is>
      </c>
      <c r="J4" s="29" t="inlineStr">
        <is>
          <t>Mixed — I bring supplies, client provides hardwood cleaner</t>
        </is>
      </c>
      <c r="K4" s="29" t="inlineStr">
        <is>
          <t>Mixed</t>
        </is>
      </c>
      <c r="L4" s="29" t="inlineStr">
        <is>
          <t>Email</t>
        </is>
      </c>
      <c r="M4" s="29" t="inlineStr">
        <is>
          <t>Active</t>
        </is>
      </c>
      <c r="N4" s="29" t="inlineStr">
        <is>
          <t>Monthly deep clean — SAMPLE ROW, delete me</t>
        </is>
      </c>
    </row>
    <row r="5">
      <c r="A5" s="29" t="inlineStr">
        <is>
          <t>Aaron Brooks</t>
        </is>
      </c>
      <c r="B5" s="29" t="inlineStr">
        <is>
          <t>(555) 448-1190</t>
        </is>
      </c>
      <c r="C5" s="29" t="inlineStr">
        <is>
          <t>aaron.b@example.com</t>
        </is>
      </c>
      <c r="D5" s="29" t="inlineStr">
        <is>
          <t>9 Sutter Pl</t>
        </is>
      </c>
      <c r="E5" s="29" t="inlineStr">
        <is>
          <t>Meet on site for the first walkthrough</t>
        </is>
      </c>
      <c r="F5" s="29" t="inlineStr">
        <is>
          <t>TBD</t>
        </is>
      </c>
      <c r="G5" s="29" t="inlineStr">
        <is>
          <t>TBD</t>
        </is>
      </c>
      <c r="H5" s="29" t="inlineStr">
        <is>
          <t>TBD</t>
        </is>
      </c>
      <c r="I5" s="29" t="inlineStr">
        <is>
          <t>Dog — confirm at walkthrough</t>
        </is>
      </c>
      <c r="J5" s="29" t="inlineStr">
        <is>
          <t>TBD at walkthrough</t>
        </is>
      </c>
      <c r="K5" s="29" t="inlineStr">
        <is>
          <t>Client supplies</t>
        </is>
      </c>
      <c r="L5" s="29" t="inlineStr">
        <is>
          <t>Text</t>
        </is>
      </c>
      <c r="M5" s="29" t="inlineStr">
        <is>
          <t>Waitlist</t>
        </is>
      </c>
      <c r="N5" s="29" t="inlineStr">
        <is>
          <t>Move-out quote requested — SAMPLE ROW, delete me</t>
        </is>
      </c>
    </row>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conditionalFormatting sqref="M2:M200">
    <cfRule type="expression" priority="1" dxfId="0">
      <formula>$M2="Active"</formula>
    </cfRule>
    <cfRule type="expression" priority="2" dxfId="1">
      <formula>$M2="Waitlist"</formula>
    </cfRule>
  </conditionalFormatting>
  <conditionalFormatting sqref="A2:N200">
    <cfRule type="expression" priority="3" dxfId="2" stopIfTrue="1">
      <formula>OR(ISNUMBER(SEARCH("CAUTION",$I2)),ISNUMBER(SEARCH("CAUTION",$N2)))</formula>
    </cfRule>
  </conditionalFormatting>
  <dataValidations count="3">
    <dataValidation sqref="K2:K200" showDropDown="0" showInputMessage="0" showErrorMessage="0" allowBlank="1" type="list">
      <formula1>"Client supplies,I supply,Mixed"</formula1>
    </dataValidation>
    <dataValidation sqref="L2:L200" showDropDown="0" showInputMessage="0" showErrorMessage="0" allowBlank="1" type="list">
      <formula1>"Text,Call,Email"</formula1>
    </dataValidation>
    <dataValidation sqref="M2:M200" showDropDown="0" showInputMessage="0" showErrorMessage="0" allowBlank="1" type="list">
      <formula1>"Active,Inactive,Waitlist"</formula1>
    </dataValidation>
  </dataValidations>
  <pageMargins left="0.75" right="0.75" top="1" bottom="1" header="0.5" footer="0.5"/>
</worksheet>
</file>

<file path=xl/worksheets/sheet4.xml><?xml version="1.0" encoding="utf-8"?>
<worksheet xmlns="http://schemas.openxmlformats.org/spreadsheetml/2006/main">
  <sheetPr>
    <tabColor rgb="006B93B3"/>
    <outlinePr summaryBelow="1" summaryRight="1"/>
    <pageSetUpPr/>
  </sheetPr>
  <dimension ref="A1:J250"/>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0" customWidth="1" min="3" max="3"/>
    <col width="9" customWidth="1" min="4" max="4"/>
    <col width="42" customWidth="1" min="5" max="5"/>
    <col width="16" customWidth="1" min="6" max="6"/>
    <col width="12" customWidth="1" min="7" max="7"/>
    <col width="13" customWidth="1" min="8" max="8"/>
    <col width="10" customWidth="1" min="9" max="9"/>
    <col width="30" customWidth="1" min="10" max="10"/>
  </cols>
  <sheetData>
    <row r="1" ht="26" customHeight="1">
      <c r="A1" s="28" t="inlineStr">
        <is>
          <t>Client</t>
        </is>
      </c>
      <c r="B1" s="28" t="inlineStr">
        <is>
          <t>Bedrooms</t>
        </is>
      </c>
      <c r="C1" s="28" t="inlineStr">
        <is>
          <t>Bathrooms</t>
        </is>
      </c>
      <c r="D1" s="28" t="inlineStr">
        <is>
          <t>Sq Ft</t>
        </is>
      </c>
      <c r="E1" s="28" t="inlineStr">
        <is>
          <t>Scope / Rooms Checklist</t>
        </is>
      </c>
      <c r="F1" s="28" t="inlineStr">
        <is>
          <t>Recurring Cadence</t>
        </is>
      </c>
      <c r="G1" s="28" t="inlineStr">
        <is>
          <t>Flat Rate ($)</t>
        </is>
      </c>
      <c r="H1" s="28" t="inlineStr">
        <is>
          <t>Hourly Rate ($)</t>
        </is>
      </c>
      <c r="I1" s="28" t="inlineStr">
        <is>
          <t>Est. Hours</t>
        </is>
      </c>
      <c r="J1" s="28" t="inlineStr">
        <is>
          <t>Notes</t>
        </is>
      </c>
    </row>
    <row r="2">
      <c r="A2" s="29" t="inlineStr">
        <is>
          <t>Sofia Delgado</t>
        </is>
      </c>
      <c r="B2" s="29" t="inlineStr">
        <is>
          <t>4</t>
        </is>
      </c>
      <c r="C2" s="29" t="inlineStr">
        <is>
          <t>3</t>
        </is>
      </c>
      <c r="D2" s="29" t="inlineStr">
        <is>
          <t>2400</t>
        </is>
      </c>
      <c r="E2" s="29" t="inlineStr">
        <is>
          <t>Whole house; hardwood + tile throughout; skip the garage</t>
        </is>
      </c>
      <c r="F2" s="29" t="inlineStr">
        <is>
          <t>Weekly</t>
        </is>
      </c>
      <c r="G2" s="30" t="n">
        <v>140</v>
      </c>
      <c r="H2" s="30" t="n">
        <v>45</v>
      </c>
      <c r="I2" s="29" t="inlineStr">
        <is>
          <t>3</t>
        </is>
      </c>
      <c r="J2" s="29" t="inlineStr">
        <is>
          <t>Fragrance-free products only — SAMPLE ROW, delete me</t>
        </is>
      </c>
    </row>
    <row r="3">
      <c r="A3" s="29" t="inlineStr">
        <is>
          <t>Marcus Reilly</t>
        </is>
      </c>
      <c r="B3" s="29" t="inlineStr">
        <is>
          <t>2</t>
        </is>
      </c>
      <c r="C3" s="29" t="inlineStr">
        <is>
          <t>2</t>
        </is>
      </c>
      <c r="D3" s="29" t="inlineStr">
        <is>
          <t>1100</t>
        </is>
      </c>
      <c r="E3" s="29" t="inlineStr">
        <is>
          <t>Kitchen, 2 baths, living, 2 bedrooms; fold in-unit laundry</t>
        </is>
      </c>
      <c r="F3" s="29" t="inlineStr">
        <is>
          <t>Biweekly</t>
        </is>
      </c>
      <c r="G3" s="30" t="n">
        <v>110</v>
      </c>
      <c r="H3" s="30" t="n">
        <v>45</v>
      </c>
      <c r="I3" s="29" t="inlineStr">
        <is>
          <t>2.5</t>
        </is>
      </c>
      <c r="J3" s="29" t="inlineStr">
        <is>
          <t>Unit 3B, elevator building — SAMPLE ROW, delete me</t>
        </is>
      </c>
    </row>
    <row r="4">
      <c r="A4" s="29" t="inlineStr">
        <is>
          <t>Priya Nadar</t>
        </is>
      </c>
      <c r="B4" s="29" t="inlineStr">
        <is>
          <t>3</t>
        </is>
      </c>
      <c r="C4" s="29" t="inlineStr">
        <is>
          <t>2</t>
        </is>
      </c>
      <c r="D4" s="29" t="inlineStr">
        <is>
          <t>1850</t>
        </is>
      </c>
      <c r="E4" s="29" t="inlineStr">
        <is>
          <t>Deep rotation: baseboards + inside windows monthly; confirm dog is crated first</t>
        </is>
      </c>
      <c r="F4" s="29" t="inlineStr">
        <is>
          <t>Monthly</t>
        </is>
      </c>
      <c r="G4" s="30" t="n">
        <v>220</v>
      </c>
      <c r="H4" s="30" t="n">
        <v>50</v>
      </c>
      <c r="I4" s="29" t="inlineStr">
        <is>
          <t>4</t>
        </is>
      </c>
      <c r="J4" s="29" t="inlineStr">
        <is>
          <t>Guard dog — confirm crated on arrival — SAMPLE ROW, delete me</t>
        </is>
      </c>
    </row>
    <row r="5">
      <c r="A5" s="29" t="inlineStr">
        <is>
          <t>Aaron Brooks</t>
        </is>
      </c>
      <c r="B5" s="29" t="inlineStr">
        <is>
          <t>3</t>
        </is>
      </c>
      <c r="C5" s="29" t="inlineStr">
        <is>
          <t>2</t>
        </is>
      </c>
      <c r="D5" s="29" t="inlineStr">
        <is>
          <t>1600</t>
        </is>
      </c>
      <c r="E5" s="29" t="inlineStr">
        <is>
          <t>Move-out: inside cabinets, oven, fridge, interior windows</t>
        </is>
      </c>
      <c r="F5" s="29" t="inlineStr">
        <is>
          <t>One-off</t>
        </is>
      </c>
      <c r="G5" s="30" t="n">
        <v>300</v>
      </c>
      <c r="H5" s="30" t="n">
        <v>50</v>
      </c>
      <c r="I5" s="29" t="inlineStr">
        <is>
          <t>6</t>
        </is>
      </c>
      <c r="J5" s="29" t="inlineStr">
        <is>
          <t>Quote pending walkthrough — SAMPLE ROW, delete me</t>
        </is>
      </c>
    </row>
    <row r="6">
      <c r="G6" s="31" t="n"/>
      <c r="H6" s="31" t="n"/>
    </row>
    <row r="7">
      <c r="G7" s="31" t="n"/>
      <c r="H7" s="31" t="n"/>
    </row>
    <row r="8">
      <c r="G8" s="31" t="n"/>
      <c r="H8" s="31" t="n"/>
    </row>
    <row r="9">
      <c r="G9" s="31" t="n"/>
      <c r="H9" s="31" t="n"/>
    </row>
    <row r="10">
      <c r="G10" s="31" t="n"/>
      <c r="H10" s="31" t="n"/>
    </row>
    <row r="11">
      <c r="G11" s="31" t="n"/>
      <c r="H11" s="31" t="n"/>
    </row>
    <row r="12">
      <c r="G12" s="31" t="n"/>
      <c r="H12" s="31" t="n"/>
    </row>
    <row r="13">
      <c r="G13" s="31" t="n"/>
      <c r="H13" s="31" t="n"/>
    </row>
    <row r="14">
      <c r="G14" s="31" t="n"/>
      <c r="H14" s="31" t="n"/>
    </row>
    <row r="15">
      <c r="G15" s="31" t="n"/>
      <c r="H15" s="31" t="n"/>
    </row>
    <row r="16">
      <c r="G16" s="31" t="n"/>
      <c r="H16" s="31" t="n"/>
    </row>
    <row r="17">
      <c r="G17" s="31" t="n"/>
      <c r="H17" s="31" t="n"/>
    </row>
    <row r="18">
      <c r="G18" s="31" t="n"/>
      <c r="H18" s="31" t="n"/>
    </row>
    <row r="19">
      <c r="G19" s="31" t="n"/>
      <c r="H19" s="31" t="n"/>
    </row>
    <row r="20">
      <c r="G20" s="31" t="n"/>
      <c r="H20" s="31" t="n"/>
    </row>
    <row r="21">
      <c r="G21" s="31" t="n"/>
      <c r="H21" s="31" t="n"/>
    </row>
    <row r="22">
      <c r="G22" s="31" t="n"/>
      <c r="H22" s="31" t="n"/>
    </row>
    <row r="23">
      <c r="G23" s="31" t="n"/>
      <c r="H23" s="31" t="n"/>
    </row>
    <row r="24">
      <c r="G24" s="31" t="n"/>
      <c r="H24" s="31" t="n"/>
    </row>
    <row r="25">
      <c r="G25" s="31" t="n"/>
      <c r="H25" s="31" t="n"/>
    </row>
    <row r="26">
      <c r="G26" s="31" t="n"/>
      <c r="H26" s="31" t="n"/>
    </row>
    <row r="27">
      <c r="G27" s="31" t="n"/>
      <c r="H27" s="31" t="n"/>
    </row>
    <row r="28">
      <c r="G28" s="31" t="n"/>
      <c r="H28" s="31" t="n"/>
    </row>
    <row r="29">
      <c r="G29" s="31" t="n"/>
      <c r="H29" s="31" t="n"/>
    </row>
    <row r="30">
      <c r="G30" s="31" t="n"/>
      <c r="H30" s="31" t="n"/>
    </row>
    <row r="31">
      <c r="G31" s="31" t="n"/>
      <c r="H31" s="31" t="n"/>
    </row>
    <row r="32">
      <c r="G32" s="31" t="n"/>
      <c r="H32" s="31" t="n"/>
    </row>
    <row r="33">
      <c r="G33" s="31" t="n"/>
      <c r="H33" s="31" t="n"/>
    </row>
    <row r="34">
      <c r="G34" s="31" t="n"/>
      <c r="H34" s="31" t="n"/>
    </row>
    <row r="35">
      <c r="G35" s="31" t="n"/>
      <c r="H35" s="31" t="n"/>
    </row>
    <row r="36">
      <c r="G36" s="31" t="n"/>
      <c r="H36" s="31" t="n"/>
    </row>
    <row r="37">
      <c r="G37" s="31" t="n"/>
      <c r="H37" s="31" t="n"/>
    </row>
    <row r="38">
      <c r="G38" s="31" t="n"/>
      <c r="H38" s="31" t="n"/>
    </row>
    <row r="39">
      <c r="G39" s="31" t="n"/>
      <c r="H39" s="31" t="n"/>
    </row>
    <row r="40">
      <c r="G40" s="31" t="n"/>
      <c r="H40" s="31" t="n"/>
    </row>
    <row r="41">
      <c r="G41" s="31" t="n"/>
      <c r="H41" s="31" t="n"/>
    </row>
    <row r="42">
      <c r="G42" s="31" t="n"/>
      <c r="H42" s="31" t="n"/>
    </row>
    <row r="43">
      <c r="G43" s="31" t="n"/>
      <c r="H43" s="31" t="n"/>
    </row>
    <row r="44">
      <c r="G44" s="31" t="n"/>
      <c r="H44" s="31" t="n"/>
    </row>
    <row r="45">
      <c r="G45" s="31" t="n"/>
      <c r="H45" s="31" t="n"/>
    </row>
    <row r="46">
      <c r="G46" s="31" t="n"/>
      <c r="H46" s="31" t="n"/>
    </row>
    <row r="47">
      <c r="G47" s="31" t="n"/>
      <c r="H47" s="31" t="n"/>
    </row>
    <row r="48">
      <c r="G48" s="31" t="n"/>
      <c r="H48" s="31" t="n"/>
    </row>
    <row r="49">
      <c r="G49" s="31" t="n"/>
      <c r="H49" s="31" t="n"/>
    </row>
    <row r="50">
      <c r="G50" s="31" t="n"/>
      <c r="H50" s="31" t="n"/>
    </row>
    <row r="51">
      <c r="G51" s="31" t="n"/>
      <c r="H51" s="31" t="n"/>
    </row>
    <row r="52">
      <c r="G52" s="31" t="n"/>
      <c r="H52" s="31" t="n"/>
    </row>
    <row r="53">
      <c r="G53" s="31" t="n"/>
      <c r="H53" s="31" t="n"/>
    </row>
    <row r="54">
      <c r="G54" s="31" t="n"/>
      <c r="H54" s="31" t="n"/>
    </row>
    <row r="55">
      <c r="G55" s="31" t="n"/>
      <c r="H55" s="31" t="n"/>
    </row>
    <row r="56">
      <c r="G56" s="31" t="n"/>
      <c r="H56" s="31" t="n"/>
    </row>
    <row r="57">
      <c r="G57" s="31" t="n"/>
      <c r="H57" s="31" t="n"/>
    </row>
    <row r="58">
      <c r="G58" s="31" t="n"/>
      <c r="H58" s="31" t="n"/>
    </row>
    <row r="59">
      <c r="G59" s="31" t="n"/>
      <c r="H59" s="31" t="n"/>
    </row>
    <row r="60">
      <c r="G60" s="31" t="n"/>
      <c r="H60" s="31" t="n"/>
    </row>
    <row r="61">
      <c r="G61" s="31" t="n"/>
      <c r="H61" s="31" t="n"/>
    </row>
    <row r="62">
      <c r="G62" s="31" t="n"/>
      <c r="H62" s="31" t="n"/>
    </row>
    <row r="63">
      <c r="G63" s="31" t="n"/>
      <c r="H63" s="31" t="n"/>
    </row>
    <row r="64">
      <c r="G64" s="31" t="n"/>
      <c r="H64" s="31" t="n"/>
    </row>
    <row r="65">
      <c r="G65" s="31" t="n"/>
      <c r="H65" s="31" t="n"/>
    </row>
    <row r="66">
      <c r="G66" s="31" t="n"/>
      <c r="H66" s="31" t="n"/>
    </row>
    <row r="67">
      <c r="G67" s="31" t="n"/>
      <c r="H67" s="31" t="n"/>
    </row>
    <row r="68">
      <c r="G68" s="31" t="n"/>
      <c r="H68" s="31" t="n"/>
    </row>
    <row r="69">
      <c r="G69" s="31" t="n"/>
      <c r="H69" s="31" t="n"/>
    </row>
    <row r="70">
      <c r="G70" s="31" t="n"/>
      <c r="H70" s="31" t="n"/>
    </row>
    <row r="71">
      <c r="G71" s="31" t="n"/>
      <c r="H71" s="31" t="n"/>
    </row>
    <row r="72">
      <c r="G72" s="31" t="n"/>
      <c r="H72" s="31" t="n"/>
    </row>
    <row r="73">
      <c r="G73" s="31" t="n"/>
      <c r="H73" s="31" t="n"/>
    </row>
    <row r="74">
      <c r="G74" s="31" t="n"/>
      <c r="H74" s="31" t="n"/>
    </row>
    <row r="75">
      <c r="G75" s="31" t="n"/>
      <c r="H75" s="31" t="n"/>
    </row>
    <row r="76">
      <c r="G76" s="31" t="n"/>
      <c r="H76" s="31" t="n"/>
    </row>
    <row r="77">
      <c r="G77" s="31" t="n"/>
      <c r="H77" s="31" t="n"/>
    </row>
    <row r="78">
      <c r="G78" s="31" t="n"/>
      <c r="H78" s="31" t="n"/>
    </row>
    <row r="79">
      <c r="G79" s="31" t="n"/>
      <c r="H79" s="31" t="n"/>
    </row>
    <row r="80">
      <c r="G80" s="31" t="n"/>
      <c r="H80" s="31" t="n"/>
    </row>
    <row r="81">
      <c r="G81" s="31" t="n"/>
      <c r="H81" s="31" t="n"/>
    </row>
    <row r="82">
      <c r="G82" s="31" t="n"/>
      <c r="H82" s="31" t="n"/>
    </row>
    <row r="83">
      <c r="G83" s="31" t="n"/>
      <c r="H83" s="31" t="n"/>
    </row>
    <row r="84">
      <c r="G84" s="31" t="n"/>
      <c r="H84" s="31" t="n"/>
    </row>
    <row r="85">
      <c r="G85" s="31" t="n"/>
      <c r="H85" s="31" t="n"/>
    </row>
    <row r="86">
      <c r="G86" s="31" t="n"/>
      <c r="H86" s="31" t="n"/>
    </row>
    <row r="87">
      <c r="G87" s="31" t="n"/>
      <c r="H87" s="31" t="n"/>
    </row>
    <row r="88">
      <c r="G88" s="31" t="n"/>
      <c r="H88" s="31" t="n"/>
    </row>
    <row r="89">
      <c r="G89" s="31" t="n"/>
      <c r="H89" s="31" t="n"/>
    </row>
    <row r="90">
      <c r="G90" s="31" t="n"/>
      <c r="H90" s="31" t="n"/>
    </row>
    <row r="91">
      <c r="G91" s="31" t="n"/>
      <c r="H91" s="31" t="n"/>
    </row>
    <row r="92">
      <c r="G92" s="31" t="n"/>
      <c r="H92" s="31" t="n"/>
    </row>
    <row r="93">
      <c r="G93" s="31" t="n"/>
      <c r="H93" s="31" t="n"/>
    </row>
    <row r="94">
      <c r="G94" s="31" t="n"/>
      <c r="H94" s="31" t="n"/>
    </row>
    <row r="95">
      <c r="G95" s="31" t="n"/>
      <c r="H95" s="31" t="n"/>
    </row>
    <row r="96">
      <c r="G96" s="31" t="n"/>
      <c r="H96" s="31" t="n"/>
    </row>
    <row r="97">
      <c r="G97" s="31" t="n"/>
      <c r="H97" s="31" t="n"/>
    </row>
    <row r="98">
      <c r="G98" s="31" t="n"/>
      <c r="H98" s="31" t="n"/>
    </row>
    <row r="99">
      <c r="G99" s="31" t="n"/>
      <c r="H99" s="31" t="n"/>
    </row>
    <row r="100">
      <c r="G100" s="31" t="n"/>
      <c r="H100" s="31" t="n"/>
    </row>
    <row r="101">
      <c r="G101" s="31" t="n"/>
      <c r="H101" s="31" t="n"/>
    </row>
    <row r="102">
      <c r="G102" s="31" t="n"/>
      <c r="H102" s="31" t="n"/>
    </row>
    <row r="103">
      <c r="G103" s="31" t="n"/>
      <c r="H103" s="31" t="n"/>
    </row>
    <row r="104">
      <c r="G104" s="31" t="n"/>
      <c r="H104" s="31" t="n"/>
    </row>
    <row r="105">
      <c r="G105" s="31" t="n"/>
      <c r="H105" s="31" t="n"/>
    </row>
    <row r="106">
      <c r="G106" s="31" t="n"/>
      <c r="H106" s="31" t="n"/>
    </row>
    <row r="107">
      <c r="G107" s="31" t="n"/>
      <c r="H107" s="31" t="n"/>
    </row>
    <row r="108">
      <c r="G108" s="31" t="n"/>
      <c r="H108" s="31" t="n"/>
    </row>
    <row r="109">
      <c r="G109" s="31" t="n"/>
      <c r="H109" s="31" t="n"/>
    </row>
    <row r="110">
      <c r="G110" s="31" t="n"/>
      <c r="H110" s="31" t="n"/>
    </row>
    <row r="111">
      <c r="G111" s="31" t="n"/>
      <c r="H111" s="31" t="n"/>
    </row>
    <row r="112">
      <c r="G112" s="31" t="n"/>
      <c r="H112" s="31" t="n"/>
    </row>
    <row r="113">
      <c r="G113" s="31" t="n"/>
      <c r="H113" s="31" t="n"/>
    </row>
    <row r="114">
      <c r="G114" s="31" t="n"/>
      <c r="H114" s="31" t="n"/>
    </row>
    <row r="115">
      <c r="G115" s="31" t="n"/>
      <c r="H115" s="31" t="n"/>
    </row>
    <row r="116">
      <c r="G116" s="31" t="n"/>
      <c r="H116" s="31" t="n"/>
    </row>
    <row r="117">
      <c r="G117" s="31" t="n"/>
      <c r="H117" s="31" t="n"/>
    </row>
    <row r="118">
      <c r="G118" s="31" t="n"/>
      <c r="H118" s="31" t="n"/>
    </row>
    <row r="119">
      <c r="G119" s="31" t="n"/>
      <c r="H119" s="31" t="n"/>
    </row>
    <row r="120">
      <c r="G120" s="31" t="n"/>
      <c r="H120" s="31" t="n"/>
    </row>
    <row r="121">
      <c r="G121" s="31" t="n"/>
      <c r="H121" s="31" t="n"/>
    </row>
    <row r="122">
      <c r="G122" s="31" t="n"/>
      <c r="H122" s="31" t="n"/>
    </row>
    <row r="123">
      <c r="G123" s="31" t="n"/>
      <c r="H123" s="31" t="n"/>
    </row>
    <row r="124">
      <c r="G124" s="31" t="n"/>
      <c r="H124" s="31" t="n"/>
    </row>
    <row r="125">
      <c r="G125" s="31" t="n"/>
      <c r="H125" s="31" t="n"/>
    </row>
    <row r="126">
      <c r="G126" s="31" t="n"/>
      <c r="H126" s="31" t="n"/>
    </row>
    <row r="127">
      <c r="G127" s="31" t="n"/>
      <c r="H127" s="31" t="n"/>
    </row>
    <row r="128">
      <c r="G128" s="31" t="n"/>
      <c r="H128" s="31" t="n"/>
    </row>
    <row r="129">
      <c r="G129" s="31" t="n"/>
      <c r="H129" s="31" t="n"/>
    </row>
    <row r="130">
      <c r="G130" s="31" t="n"/>
      <c r="H130" s="31" t="n"/>
    </row>
    <row r="131">
      <c r="G131" s="31" t="n"/>
      <c r="H131" s="31" t="n"/>
    </row>
    <row r="132">
      <c r="G132" s="31" t="n"/>
      <c r="H132" s="31" t="n"/>
    </row>
    <row r="133">
      <c r="G133" s="31" t="n"/>
      <c r="H133" s="31" t="n"/>
    </row>
    <row r="134">
      <c r="G134" s="31" t="n"/>
      <c r="H134" s="31" t="n"/>
    </row>
    <row r="135">
      <c r="G135" s="31" t="n"/>
      <c r="H135" s="31" t="n"/>
    </row>
    <row r="136">
      <c r="G136" s="31" t="n"/>
      <c r="H136" s="31" t="n"/>
    </row>
    <row r="137">
      <c r="G137" s="31" t="n"/>
      <c r="H137" s="31" t="n"/>
    </row>
    <row r="138">
      <c r="G138" s="31" t="n"/>
      <c r="H138" s="31" t="n"/>
    </row>
    <row r="139">
      <c r="G139" s="31" t="n"/>
      <c r="H139" s="31" t="n"/>
    </row>
    <row r="140">
      <c r="G140" s="31" t="n"/>
      <c r="H140" s="31" t="n"/>
    </row>
    <row r="141">
      <c r="G141" s="31" t="n"/>
      <c r="H141" s="31" t="n"/>
    </row>
    <row r="142">
      <c r="G142" s="31" t="n"/>
      <c r="H142" s="31" t="n"/>
    </row>
    <row r="143">
      <c r="G143" s="31" t="n"/>
      <c r="H143" s="31" t="n"/>
    </row>
    <row r="144">
      <c r="G144" s="31" t="n"/>
      <c r="H144" s="31" t="n"/>
    </row>
    <row r="145">
      <c r="G145" s="31" t="n"/>
      <c r="H145" s="31" t="n"/>
    </row>
    <row r="146">
      <c r="G146" s="31" t="n"/>
      <c r="H146" s="31" t="n"/>
    </row>
    <row r="147">
      <c r="G147" s="31" t="n"/>
      <c r="H147" s="31" t="n"/>
    </row>
    <row r="148">
      <c r="G148" s="31" t="n"/>
      <c r="H148" s="31" t="n"/>
    </row>
    <row r="149">
      <c r="G149" s="31" t="n"/>
      <c r="H149" s="31" t="n"/>
    </row>
    <row r="150">
      <c r="G150" s="31" t="n"/>
      <c r="H150" s="31" t="n"/>
    </row>
    <row r="151">
      <c r="G151" s="31" t="n"/>
      <c r="H151" s="31" t="n"/>
    </row>
    <row r="152">
      <c r="G152" s="31" t="n"/>
      <c r="H152" s="31" t="n"/>
    </row>
    <row r="153">
      <c r="G153" s="31" t="n"/>
      <c r="H153" s="31" t="n"/>
    </row>
    <row r="154">
      <c r="G154" s="31" t="n"/>
      <c r="H154" s="31" t="n"/>
    </row>
    <row r="155">
      <c r="G155" s="31" t="n"/>
      <c r="H155" s="31" t="n"/>
    </row>
    <row r="156">
      <c r="G156" s="31" t="n"/>
      <c r="H156" s="31" t="n"/>
    </row>
    <row r="157">
      <c r="G157" s="31" t="n"/>
      <c r="H157" s="31" t="n"/>
    </row>
    <row r="158">
      <c r="G158" s="31" t="n"/>
      <c r="H158" s="31" t="n"/>
    </row>
    <row r="159">
      <c r="G159" s="31" t="n"/>
      <c r="H159" s="31" t="n"/>
    </row>
    <row r="160">
      <c r="G160" s="31" t="n"/>
      <c r="H160" s="31" t="n"/>
    </row>
    <row r="161">
      <c r="G161" s="31" t="n"/>
      <c r="H161" s="31" t="n"/>
    </row>
    <row r="162">
      <c r="G162" s="31" t="n"/>
      <c r="H162" s="31" t="n"/>
    </row>
    <row r="163">
      <c r="G163" s="31" t="n"/>
      <c r="H163" s="31" t="n"/>
    </row>
    <row r="164">
      <c r="G164" s="31" t="n"/>
      <c r="H164" s="31" t="n"/>
    </row>
    <row r="165">
      <c r="G165" s="31" t="n"/>
      <c r="H165" s="31" t="n"/>
    </row>
    <row r="166">
      <c r="G166" s="31" t="n"/>
      <c r="H166" s="31" t="n"/>
    </row>
    <row r="167">
      <c r="G167" s="31" t="n"/>
      <c r="H167" s="31" t="n"/>
    </row>
    <row r="168">
      <c r="G168" s="31" t="n"/>
      <c r="H168" s="31" t="n"/>
    </row>
    <row r="169">
      <c r="G169" s="31" t="n"/>
      <c r="H169" s="31" t="n"/>
    </row>
    <row r="170">
      <c r="G170" s="31" t="n"/>
      <c r="H170" s="31" t="n"/>
    </row>
    <row r="171">
      <c r="G171" s="31" t="n"/>
      <c r="H171" s="31" t="n"/>
    </row>
    <row r="172">
      <c r="G172" s="31" t="n"/>
      <c r="H172" s="31" t="n"/>
    </row>
    <row r="173">
      <c r="G173" s="31" t="n"/>
      <c r="H173" s="31" t="n"/>
    </row>
    <row r="174">
      <c r="G174" s="31" t="n"/>
      <c r="H174" s="31" t="n"/>
    </row>
    <row r="175">
      <c r="G175" s="31" t="n"/>
      <c r="H175" s="31" t="n"/>
    </row>
    <row r="176">
      <c r="G176" s="31" t="n"/>
      <c r="H176" s="31" t="n"/>
    </row>
    <row r="177">
      <c r="G177" s="31" t="n"/>
      <c r="H177" s="31" t="n"/>
    </row>
    <row r="178">
      <c r="G178" s="31" t="n"/>
      <c r="H178" s="31" t="n"/>
    </row>
    <row r="179">
      <c r="G179" s="31" t="n"/>
      <c r="H179" s="31" t="n"/>
    </row>
    <row r="180">
      <c r="G180" s="31" t="n"/>
      <c r="H180" s="31" t="n"/>
    </row>
    <row r="181">
      <c r="G181" s="31" t="n"/>
      <c r="H181" s="31" t="n"/>
    </row>
    <row r="182">
      <c r="G182" s="31" t="n"/>
      <c r="H182" s="31" t="n"/>
    </row>
    <row r="183">
      <c r="G183" s="31" t="n"/>
      <c r="H183" s="31" t="n"/>
    </row>
    <row r="184">
      <c r="G184" s="31" t="n"/>
      <c r="H184" s="31" t="n"/>
    </row>
    <row r="185">
      <c r="G185" s="31" t="n"/>
      <c r="H185" s="31" t="n"/>
    </row>
    <row r="186">
      <c r="G186" s="31" t="n"/>
      <c r="H186" s="31" t="n"/>
    </row>
    <row r="187">
      <c r="G187" s="31" t="n"/>
      <c r="H187" s="31" t="n"/>
    </row>
    <row r="188">
      <c r="G188" s="31" t="n"/>
      <c r="H188" s="31" t="n"/>
    </row>
    <row r="189">
      <c r="G189" s="31" t="n"/>
      <c r="H189" s="31" t="n"/>
    </row>
    <row r="190">
      <c r="G190" s="31" t="n"/>
      <c r="H190" s="31" t="n"/>
    </row>
    <row r="191">
      <c r="G191" s="31" t="n"/>
      <c r="H191" s="31" t="n"/>
    </row>
    <row r="192">
      <c r="G192" s="31" t="n"/>
      <c r="H192" s="31" t="n"/>
    </row>
    <row r="193">
      <c r="G193" s="31" t="n"/>
      <c r="H193" s="31" t="n"/>
    </row>
    <row r="194">
      <c r="G194" s="31" t="n"/>
      <c r="H194" s="31" t="n"/>
    </row>
    <row r="195">
      <c r="G195" s="31" t="n"/>
      <c r="H195" s="31" t="n"/>
    </row>
    <row r="196">
      <c r="G196" s="31" t="n"/>
      <c r="H196" s="31" t="n"/>
    </row>
    <row r="197">
      <c r="G197" s="31" t="n"/>
      <c r="H197" s="31" t="n"/>
    </row>
    <row r="198">
      <c r="G198" s="31" t="n"/>
      <c r="H198" s="31" t="n"/>
    </row>
    <row r="199">
      <c r="G199" s="31" t="n"/>
      <c r="H199" s="31" t="n"/>
    </row>
    <row r="200">
      <c r="G200" s="31" t="n"/>
      <c r="H200" s="31" t="n"/>
    </row>
    <row r="201">
      <c r="G201" s="31" t="n"/>
      <c r="H201" s="31" t="n"/>
    </row>
    <row r="202">
      <c r="G202" s="31" t="n"/>
      <c r="H202" s="31" t="n"/>
    </row>
    <row r="203">
      <c r="G203" s="31" t="n"/>
      <c r="H203" s="31" t="n"/>
    </row>
    <row r="204">
      <c r="G204" s="31" t="n"/>
      <c r="H204" s="31" t="n"/>
    </row>
    <row r="205">
      <c r="G205" s="31" t="n"/>
      <c r="H205" s="31" t="n"/>
    </row>
    <row r="206">
      <c r="G206" s="31" t="n"/>
      <c r="H206" s="31" t="n"/>
    </row>
    <row r="207">
      <c r="G207" s="31" t="n"/>
      <c r="H207" s="31" t="n"/>
    </row>
    <row r="208">
      <c r="G208" s="31" t="n"/>
      <c r="H208" s="31" t="n"/>
    </row>
    <row r="209">
      <c r="G209" s="31" t="n"/>
      <c r="H209" s="31" t="n"/>
    </row>
    <row r="210">
      <c r="G210" s="31" t="n"/>
      <c r="H210" s="31" t="n"/>
    </row>
    <row r="211">
      <c r="G211" s="31" t="n"/>
      <c r="H211" s="31" t="n"/>
    </row>
    <row r="212">
      <c r="G212" s="31" t="n"/>
      <c r="H212" s="31" t="n"/>
    </row>
    <row r="213">
      <c r="G213" s="31" t="n"/>
      <c r="H213" s="31" t="n"/>
    </row>
    <row r="214">
      <c r="G214" s="31" t="n"/>
      <c r="H214" s="31" t="n"/>
    </row>
    <row r="215">
      <c r="G215" s="31" t="n"/>
      <c r="H215" s="31" t="n"/>
    </row>
    <row r="216">
      <c r="G216" s="31" t="n"/>
      <c r="H216" s="31" t="n"/>
    </row>
    <row r="217">
      <c r="G217" s="31" t="n"/>
      <c r="H217" s="31" t="n"/>
    </row>
    <row r="218">
      <c r="G218" s="31" t="n"/>
      <c r="H218" s="31" t="n"/>
    </row>
    <row r="219">
      <c r="G219" s="31" t="n"/>
      <c r="H219" s="31" t="n"/>
    </row>
    <row r="220">
      <c r="G220" s="31" t="n"/>
      <c r="H220" s="31" t="n"/>
    </row>
    <row r="221">
      <c r="G221" s="31" t="n"/>
      <c r="H221" s="31" t="n"/>
    </row>
    <row r="222">
      <c r="G222" s="31" t="n"/>
      <c r="H222" s="31" t="n"/>
    </row>
    <row r="223">
      <c r="G223" s="31" t="n"/>
      <c r="H223" s="31" t="n"/>
    </row>
    <row r="224">
      <c r="G224" s="31" t="n"/>
      <c r="H224" s="31" t="n"/>
    </row>
    <row r="225">
      <c r="G225" s="31" t="n"/>
      <c r="H225" s="31" t="n"/>
    </row>
    <row r="226">
      <c r="G226" s="31" t="n"/>
      <c r="H226" s="31" t="n"/>
    </row>
    <row r="227">
      <c r="G227" s="31" t="n"/>
      <c r="H227" s="31" t="n"/>
    </row>
    <row r="228">
      <c r="G228" s="31" t="n"/>
      <c r="H228" s="31" t="n"/>
    </row>
    <row r="229">
      <c r="G229" s="31" t="n"/>
      <c r="H229" s="31" t="n"/>
    </row>
    <row r="230">
      <c r="G230" s="31" t="n"/>
      <c r="H230" s="31" t="n"/>
    </row>
    <row r="231">
      <c r="G231" s="31" t="n"/>
      <c r="H231" s="31" t="n"/>
    </row>
    <row r="232">
      <c r="G232" s="31" t="n"/>
      <c r="H232" s="31" t="n"/>
    </row>
    <row r="233">
      <c r="G233" s="31" t="n"/>
      <c r="H233" s="31" t="n"/>
    </row>
    <row r="234">
      <c r="G234" s="31" t="n"/>
      <c r="H234" s="31" t="n"/>
    </row>
    <row r="235">
      <c r="G235" s="31" t="n"/>
      <c r="H235" s="31" t="n"/>
    </row>
    <row r="236">
      <c r="G236" s="31" t="n"/>
      <c r="H236" s="31" t="n"/>
    </row>
    <row r="237">
      <c r="G237" s="31" t="n"/>
      <c r="H237" s="31" t="n"/>
    </row>
    <row r="238">
      <c r="G238" s="31" t="n"/>
      <c r="H238" s="31" t="n"/>
    </row>
    <row r="239">
      <c r="G239" s="31" t="n"/>
      <c r="H239" s="31" t="n"/>
    </row>
    <row r="240">
      <c r="G240" s="31" t="n"/>
      <c r="H240" s="31" t="n"/>
    </row>
    <row r="241">
      <c r="G241" s="31" t="n"/>
      <c r="H241" s="31" t="n"/>
    </row>
    <row r="242">
      <c r="G242" s="31" t="n"/>
      <c r="H242" s="31" t="n"/>
    </row>
    <row r="243">
      <c r="G243" s="31" t="n"/>
      <c r="H243" s="31" t="n"/>
    </row>
    <row r="244">
      <c r="G244" s="31" t="n"/>
      <c r="H244" s="31" t="n"/>
    </row>
    <row r="245">
      <c r="G245" s="31" t="n"/>
      <c r="H245" s="31" t="n"/>
    </row>
    <row r="246">
      <c r="G246" s="31" t="n"/>
      <c r="H246" s="31" t="n"/>
    </row>
    <row r="247">
      <c r="G247" s="31" t="n"/>
      <c r="H247" s="31" t="n"/>
    </row>
    <row r="248">
      <c r="G248" s="31" t="n"/>
      <c r="H248" s="31" t="n"/>
    </row>
    <row r="249">
      <c r="G249" s="31" t="n"/>
      <c r="H249" s="31" t="n"/>
    </row>
    <row r="250">
      <c r="G250" s="31" t="n"/>
      <c r="H250" s="31" t="n"/>
    </row>
  </sheetData>
  <dataValidations count="2">
    <dataValidation sqref="A2:A250" showDropDown="0" showInputMessage="0" showErrorMessage="0" allowBlank="1" type="list">
      <formula1>ClientList</formula1>
    </dataValidation>
    <dataValidation sqref="F2:F250" showDropDown="0" showInputMessage="0" showErrorMessage="0" allowBlank="1" type="list">
      <formula1>"Weekly,Biweekly,Monthly,One-off,Deep Clean"</formula1>
    </dataValidation>
  </dataValidations>
  <pageMargins left="0.75" right="0.75" top="1" bottom="1" header="0.5" footer="0.5"/>
</worksheet>
</file>

<file path=xl/worksheets/sheet5.xml><?xml version="1.0" encoding="utf-8"?>
<worksheet xmlns="http://schemas.openxmlformats.org/spreadsheetml/2006/main">
  <sheetPr>
    <tabColor rgb="006B93B3"/>
    <outlinePr summaryBelow="1" summaryRight="1"/>
    <pageSetUpPr/>
  </sheetPr>
  <dimension ref="A1:H250"/>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2" customWidth="1" min="3" max="3"/>
    <col width="10" customWidth="1" min="4" max="4"/>
    <col width="11" customWidth="1" min="5" max="5"/>
    <col width="8" customWidth="1" min="6" max="6"/>
    <col width="15" customWidth="1" min="7" max="7"/>
    <col width="30" customWidth="1" min="8" max="8"/>
  </cols>
  <sheetData>
    <row r="1" ht="26" customHeight="1">
      <c r="A1" s="28" t="inlineStr">
        <is>
          <t>Date</t>
        </is>
      </c>
      <c r="B1" s="28" t="inlineStr">
        <is>
          <t>Client</t>
        </is>
      </c>
      <c r="C1" s="28" t="inlineStr">
        <is>
          <t>Service</t>
        </is>
      </c>
      <c r="D1" s="28" t="inlineStr">
        <is>
          <t>Rate ($)</t>
        </is>
      </c>
      <c r="E1" s="28" t="inlineStr">
        <is>
          <t>Status</t>
        </is>
      </c>
      <c r="F1" s="28" t="inlineStr">
        <is>
          <t>Paid?</t>
        </is>
      </c>
      <c r="G1" s="28" t="inlineStr">
        <is>
          <t>Next Clean Due</t>
        </is>
      </c>
      <c r="H1" s="28" t="inlineStr">
        <is>
          <t>Notes</t>
        </is>
      </c>
    </row>
    <row r="2">
      <c r="A2" s="32">
        <f>TODAY()+0</f>
        <v/>
      </c>
      <c r="B2" s="29" t="inlineStr">
        <is>
          <t>Sofia Delgado</t>
        </is>
      </c>
      <c r="C2" s="29" t="inlineStr">
        <is>
          <t>Recurring Clean</t>
        </is>
      </c>
      <c r="D2" s="33">
        <f>IF($C2="","",IFERROR(VLOOKUP($C2,'Services &amp; Rates'!$A$2:$B$30,2,FALSE),""))</f>
        <v/>
      </c>
      <c r="E2" s="29" t="inlineStr">
        <is>
          <t>Booked</t>
        </is>
      </c>
      <c r="F2" s="29" t="inlineStr">
        <is>
          <t>No</t>
        </is>
      </c>
      <c r="G2" s="34">
        <f>IF(OR($A2="",$B2=""),"",IFERROR(IF(VLOOKUP($B2,'Job Details'!$A$2:$J$250,6,FALSE)="Weekly",$A2+7,IF(VLOOKUP($B2,'Job Details'!$A$2:$J$250,6,FALSE)="Biweekly",$A2+14,IF(VLOOKUP($B2,'Job Details'!$A$2:$J$250,6,FALSE)="Monthly",$A2+30,""))),""))</f>
        <v/>
      </c>
      <c r="H2" s="29" t="inlineStr">
        <is>
          <t>SAMPLE — today's cleans glow blue</t>
        </is>
      </c>
    </row>
    <row r="3">
      <c r="A3" s="32">
        <f>TODAY()-3</f>
        <v/>
      </c>
      <c r="B3" s="29" t="inlineStr">
        <is>
          <t>Marcus Reilly</t>
        </is>
      </c>
      <c r="C3" s="29" t="inlineStr">
        <is>
          <t>Recurring Clean</t>
        </is>
      </c>
      <c r="D3" s="33">
        <f>IF($C3="","",IFERROR(VLOOKUP($C3,'Services &amp; Rates'!$A$2:$B$30,2,FALSE),""))</f>
        <v/>
      </c>
      <c r="E3" s="29" t="inlineStr">
        <is>
          <t>Done</t>
        </is>
      </c>
      <c r="F3" s="29" t="inlineStr">
        <is>
          <t>No</t>
        </is>
      </c>
      <c r="G3" s="34">
        <f>IF(OR($A3="",$B3=""),"",IFERROR(IF(VLOOKUP($B3,'Job Details'!$A$2:$J$250,6,FALSE)="Weekly",$A3+7,IF(VLOOKUP($B3,'Job Details'!$A$2:$J$250,6,FALSE)="Biweekly",$A3+14,IF(VLOOKUP($B3,'Job Details'!$A$2:$J$250,6,FALSE)="Monthly",$A3+30,""))),""))</f>
        <v/>
      </c>
      <c r="H3" s="29" t="inlineStr">
        <is>
          <t>SAMPLE — done + unpaid turns red</t>
        </is>
      </c>
    </row>
    <row r="4">
      <c r="A4" s="32">
        <f>TODAY()-10</f>
        <v/>
      </c>
      <c r="B4" s="29" t="inlineStr">
        <is>
          <t>Sofia Delgado</t>
        </is>
      </c>
      <c r="C4" s="29" t="inlineStr">
        <is>
          <t>Recurring Clean</t>
        </is>
      </c>
      <c r="D4" s="33">
        <f>IF($C4="","",IFERROR(VLOOKUP($C4,'Services &amp; Rates'!$A$2:$B$30,2,FALSE),""))</f>
        <v/>
      </c>
      <c r="E4" s="29" t="inlineStr">
        <is>
          <t>Done</t>
        </is>
      </c>
      <c r="F4" s="29" t="inlineStr">
        <is>
          <t>Yes</t>
        </is>
      </c>
      <c r="G4" s="34">
        <f>IF(OR($A4="",$B4=""),"",IFERROR(IF(VLOOKUP($B4,'Job Details'!$A$2:$J$250,6,FALSE)="Weekly",$A4+7,IF(VLOOKUP($B4,'Job Details'!$A$2:$J$250,6,FALSE)="Biweekly",$A4+14,IF(VLOOKUP($B4,'Job Details'!$A$2:$J$250,6,FALSE)="Monthly",$A4+30,""))),""))</f>
        <v/>
      </c>
      <c r="H4" s="29" t="inlineStr">
        <is>
          <t>SAMPLE — Next Clean Due turns amber once it is due</t>
        </is>
      </c>
    </row>
    <row r="5">
      <c r="A5" s="32">
        <f>DATE(YEAR(TODAY()),MONTH(TODAY()),1)</f>
        <v/>
      </c>
      <c r="B5" s="29" t="inlineStr">
        <is>
          <t>Sofia Delgado</t>
        </is>
      </c>
      <c r="C5" s="29" t="inlineStr">
        <is>
          <t>Deep Clean</t>
        </is>
      </c>
      <c r="D5" s="33">
        <f>IF($C5="","",IFERROR(VLOOKUP($C5,'Services &amp; Rates'!$A$2:$B$30,2,FALSE),""))</f>
        <v/>
      </c>
      <c r="E5" s="29" t="inlineStr">
        <is>
          <t>Done</t>
        </is>
      </c>
      <c r="F5" s="29" t="inlineStr">
        <is>
          <t>Yes</t>
        </is>
      </c>
      <c r="G5" s="34">
        <f>IF(OR($A5="",$B5=""),"",IFERROR(IF(VLOOKUP($B5,'Job Details'!$A$2:$J$250,6,FALSE)="Weekly",$A5+7,IF(VLOOKUP($B5,'Job Details'!$A$2:$J$250,6,FALSE)="Biweekly",$A5+14,IF(VLOOKUP($B5,'Job Details'!$A$2:$J$250,6,FALSE)="Monthly",$A5+30,""))),""))</f>
        <v/>
      </c>
      <c r="H5" s="29" t="inlineStr">
        <is>
          <t>SAMPLE ROW — delete me</t>
        </is>
      </c>
    </row>
    <row r="6">
      <c r="A6" s="32">
        <f>TODAY()-35</f>
        <v/>
      </c>
      <c r="B6" s="29" t="inlineStr">
        <is>
          <t>Priya Nadar</t>
        </is>
      </c>
      <c r="C6" s="29" t="inlineStr">
        <is>
          <t>Deep Clean</t>
        </is>
      </c>
      <c r="D6" s="33">
        <f>IF($C6="","",IFERROR(VLOOKUP($C6,'Services &amp; Rates'!$A$2:$B$30,2,FALSE),""))</f>
        <v/>
      </c>
      <c r="E6" s="29" t="inlineStr">
        <is>
          <t>Done</t>
        </is>
      </c>
      <c r="F6" s="29" t="inlineStr">
        <is>
          <t>No</t>
        </is>
      </c>
      <c r="G6" s="34">
        <f>IF(OR($A6="",$B6=""),"",IFERROR(IF(VLOOKUP($B6,'Job Details'!$A$2:$J$250,6,FALSE)="Weekly",$A6+7,IF(VLOOKUP($B6,'Job Details'!$A$2:$J$250,6,FALSE)="Biweekly",$A6+14,IF(VLOOKUP($B6,'Job Details'!$A$2:$J$250,6,FALSE)="Monthly",$A6+30,""))),""))</f>
        <v/>
      </c>
      <c r="H6" s="29" t="inlineStr">
        <is>
          <t>SAMPLE — older unpaid clean (see Invoices) — delete me</t>
        </is>
      </c>
    </row>
    <row r="7">
      <c r="A7" s="32">
        <f>TODAY()+2</f>
        <v/>
      </c>
      <c r="B7" s="29" t="inlineStr">
        <is>
          <t>Marcus Reilly</t>
        </is>
      </c>
      <c r="C7" s="29" t="inlineStr">
        <is>
          <t>Standard Clean</t>
        </is>
      </c>
      <c r="D7" s="33">
        <f>IF($C7="","",IFERROR(VLOOKUP($C7,'Services &amp; Rates'!$A$2:$B$30,2,FALSE),""))</f>
        <v/>
      </c>
      <c r="E7" s="29" t="inlineStr">
        <is>
          <t>Booked</t>
        </is>
      </c>
      <c r="F7" s="29" t="inlineStr">
        <is>
          <t>No</t>
        </is>
      </c>
      <c r="G7" s="34">
        <f>IF(OR($A7="",$B7=""),"",IFERROR(IF(VLOOKUP($B7,'Job Details'!$A$2:$J$250,6,FALSE)="Weekly",$A7+7,IF(VLOOKUP($B7,'Job Details'!$A$2:$J$250,6,FALSE)="Biweekly",$A7+14,IF(VLOOKUP($B7,'Job Details'!$A$2:$J$250,6,FALSE)="Monthly",$A7+30,""))),""))</f>
        <v/>
      </c>
      <c r="H7" s="29" t="inlineStr">
        <is>
          <t>SAMPLE ROW — delete me</t>
        </is>
      </c>
    </row>
    <row r="8">
      <c r="A8" s="35" t="n"/>
      <c r="D8" s="36">
        <f>IF($C8="","",IFERROR(VLOOKUP($C8,'Services &amp; Rates'!$A$2:$B$30,2,FALSE),""))</f>
        <v/>
      </c>
      <c r="G8" s="37">
        <f>IF(OR($A8="",$B8=""),"",IFERROR(IF(VLOOKUP($B8,'Job Details'!$A$2:$J$250,6,FALSE)="Weekly",$A8+7,IF(VLOOKUP($B8,'Job Details'!$A$2:$J$250,6,FALSE)="Biweekly",$A8+14,IF(VLOOKUP($B8,'Job Details'!$A$2:$J$250,6,FALSE)="Monthly",$A8+30,""))),""))</f>
        <v/>
      </c>
    </row>
    <row r="9">
      <c r="A9" s="35" t="n"/>
      <c r="D9" s="36">
        <f>IF($C9="","",IFERROR(VLOOKUP($C9,'Services &amp; Rates'!$A$2:$B$30,2,FALSE),""))</f>
        <v/>
      </c>
      <c r="G9" s="37">
        <f>IF(OR($A9="",$B9=""),"",IFERROR(IF(VLOOKUP($B9,'Job Details'!$A$2:$J$250,6,FALSE)="Weekly",$A9+7,IF(VLOOKUP($B9,'Job Details'!$A$2:$J$250,6,FALSE)="Biweekly",$A9+14,IF(VLOOKUP($B9,'Job Details'!$A$2:$J$250,6,FALSE)="Monthly",$A9+30,""))),""))</f>
        <v/>
      </c>
    </row>
    <row r="10">
      <c r="A10" s="35" t="n"/>
      <c r="D10" s="36">
        <f>IF($C10="","",IFERROR(VLOOKUP($C10,'Services &amp; Rates'!$A$2:$B$30,2,FALSE),""))</f>
        <v/>
      </c>
      <c r="G10" s="37">
        <f>IF(OR($A10="",$B10=""),"",IFERROR(IF(VLOOKUP($B10,'Job Details'!$A$2:$J$250,6,FALSE)="Weekly",$A10+7,IF(VLOOKUP($B10,'Job Details'!$A$2:$J$250,6,FALSE)="Biweekly",$A10+14,IF(VLOOKUP($B10,'Job Details'!$A$2:$J$250,6,FALSE)="Monthly",$A10+30,""))),""))</f>
        <v/>
      </c>
    </row>
    <row r="11">
      <c r="A11" s="35" t="n"/>
      <c r="D11" s="36">
        <f>IF($C11="","",IFERROR(VLOOKUP($C11,'Services &amp; Rates'!$A$2:$B$30,2,FALSE),""))</f>
        <v/>
      </c>
      <c r="G11" s="37">
        <f>IF(OR($A11="",$B11=""),"",IFERROR(IF(VLOOKUP($B11,'Job Details'!$A$2:$J$250,6,FALSE)="Weekly",$A11+7,IF(VLOOKUP($B11,'Job Details'!$A$2:$J$250,6,FALSE)="Biweekly",$A11+14,IF(VLOOKUP($B11,'Job Details'!$A$2:$J$250,6,FALSE)="Monthly",$A11+30,""))),""))</f>
        <v/>
      </c>
    </row>
    <row r="12">
      <c r="A12" s="35" t="n"/>
      <c r="D12" s="36">
        <f>IF($C12="","",IFERROR(VLOOKUP($C12,'Services &amp; Rates'!$A$2:$B$30,2,FALSE),""))</f>
        <v/>
      </c>
      <c r="G12" s="37">
        <f>IF(OR($A12="",$B12=""),"",IFERROR(IF(VLOOKUP($B12,'Job Details'!$A$2:$J$250,6,FALSE)="Weekly",$A12+7,IF(VLOOKUP($B12,'Job Details'!$A$2:$J$250,6,FALSE)="Biweekly",$A12+14,IF(VLOOKUP($B12,'Job Details'!$A$2:$J$250,6,FALSE)="Monthly",$A12+30,""))),""))</f>
        <v/>
      </c>
    </row>
    <row r="13">
      <c r="A13" s="35" t="n"/>
      <c r="D13" s="36">
        <f>IF($C13="","",IFERROR(VLOOKUP($C13,'Services &amp; Rates'!$A$2:$B$30,2,FALSE),""))</f>
        <v/>
      </c>
      <c r="G13" s="37">
        <f>IF(OR($A13="",$B13=""),"",IFERROR(IF(VLOOKUP($B13,'Job Details'!$A$2:$J$250,6,FALSE)="Weekly",$A13+7,IF(VLOOKUP($B13,'Job Details'!$A$2:$J$250,6,FALSE)="Biweekly",$A13+14,IF(VLOOKUP($B13,'Job Details'!$A$2:$J$250,6,FALSE)="Monthly",$A13+30,""))),""))</f>
        <v/>
      </c>
    </row>
    <row r="14">
      <c r="A14" s="35" t="n"/>
      <c r="D14" s="36">
        <f>IF($C14="","",IFERROR(VLOOKUP($C14,'Services &amp; Rates'!$A$2:$B$30,2,FALSE),""))</f>
        <v/>
      </c>
      <c r="G14" s="37">
        <f>IF(OR($A14="",$B14=""),"",IFERROR(IF(VLOOKUP($B14,'Job Details'!$A$2:$J$250,6,FALSE)="Weekly",$A14+7,IF(VLOOKUP($B14,'Job Details'!$A$2:$J$250,6,FALSE)="Biweekly",$A14+14,IF(VLOOKUP($B14,'Job Details'!$A$2:$J$250,6,FALSE)="Monthly",$A14+30,""))),""))</f>
        <v/>
      </c>
    </row>
    <row r="15">
      <c r="A15" s="35" t="n"/>
      <c r="D15" s="36">
        <f>IF($C15="","",IFERROR(VLOOKUP($C15,'Services &amp; Rates'!$A$2:$B$30,2,FALSE),""))</f>
        <v/>
      </c>
      <c r="G15" s="37">
        <f>IF(OR($A15="",$B15=""),"",IFERROR(IF(VLOOKUP($B15,'Job Details'!$A$2:$J$250,6,FALSE)="Weekly",$A15+7,IF(VLOOKUP($B15,'Job Details'!$A$2:$J$250,6,FALSE)="Biweekly",$A15+14,IF(VLOOKUP($B15,'Job Details'!$A$2:$J$250,6,FALSE)="Monthly",$A15+30,""))),""))</f>
        <v/>
      </c>
    </row>
    <row r="16">
      <c r="A16" s="35" t="n"/>
      <c r="D16" s="36">
        <f>IF($C16="","",IFERROR(VLOOKUP($C16,'Services &amp; Rates'!$A$2:$B$30,2,FALSE),""))</f>
        <v/>
      </c>
      <c r="G16" s="37">
        <f>IF(OR($A16="",$B16=""),"",IFERROR(IF(VLOOKUP($B16,'Job Details'!$A$2:$J$250,6,FALSE)="Weekly",$A16+7,IF(VLOOKUP($B16,'Job Details'!$A$2:$J$250,6,FALSE)="Biweekly",$A16+14,IF(VLOOKUP($B16,'Job Details'!$A$2:$J$250,6,FALSE)="Monthly",$A16+30,""))),""))</f>
        <v/>
      </c>
    </row>
    <row r="17">
      <c r="A17" s="35" t="n"/>
      <c r="D17" s="36">
        <f>IF($C17="","",IFERROR(VLOOKUP($C17,'Services &amp; Rates'!$A$2:$B$30,2,FALSE),""))</f>
        <v/>
      </c>
      <c r="G17" s="37">
        <f>IF(OR($A17="",$B17=""),"",IFERROR(IF(VLOOKUP($B17,'Job Details'!$A$2:$J$250,6,FALSE)="Weekly",$A17+7,IF(VLOOKUP($B17,'Job Details'!$A$2:$J$250,6,FALSE)="Biweekly",$A17+14,IF(VLOOKUP($B17,'Job Details'!$A$2:$J$250,6,FALSE)="Monthly",$A17+30,""))),""))</f>
        <v/>
      </c>
    </row>
    <row r="18">
      <c r="A18" s="35" t="n"/>
      <c r="D18" s="36">
        <f>IF($C18="","",IFERROR(VLOOKUP($C18,'Services &amp; Rates'!$A$2:$B$30,2,FALSE),""))</f>
        <v/>
      </c>
      <c r="G18" s="37">
        <f>IF(OR($A18="",$B18=""),"",IFERROR(IF(VLOOKUP($B18,'Job Details'!$A$2:$J$250,6,FALSE)="Weekly",$A18+7,IF(VLOOKUP($B18,'Job Details'!$A$2:$J$250,6,FALSE)="Biweekly",$A18+14,IF(VLOOKUP($B18,'Job Details'!$A$2:$J$250,6,FALSE)="Monthly",$A18+30,""))),""))</f>
        <v/>
      </c>
    </row>
    <row r="19">
      <c r="A19" s="35" t="n"/>
      <c r="D19" s="36">
        <f>IF($C19="","",IFERROR(VLOOKUP($C19,'Services &amp; Rates'!$A$2:$B$30,2,FALSE),""))</f>
        <v/>
      </c>
      <c r="G19" s="37">
        <f>IF(OR($A19="",$B19=""),"",IFERROR(IF(VLOOKUP($B19,'Job Details'!$A$2:$J$250,6,FALSE)="Weekly",$A19+7,IF(VLOOKUP($B19,'Job Details'!$A$2:$J$250,6,FALSE)="Biweekly",$A19+14,IF(VLOOKUP($B19,'Job Details'!$A$2:$J$250,6,FALSE)="Monthly",$A19+30,""))),""))</f>
        <v/>
      </c>
    </row>
    <row r="20">
      <c r="A20" s="35" t="n"/>
      <c r="D20" s="36">
        <f>IF($C20="","",IFERROR(VLOOKUP($C20,'Services &amp; Rates'!$A$2:$B$30,2,FALSE),""))</f>
        <v/>
      </c>
      <c r="G20" s="37">
        <f>IF(OR($A20="",$B20=""),"",IFERROR(IF(VLOOKUP($B20,'Job Details'!$A$2:$J$250,6,FALSE)="Weekly",$A20+7,IF(VLOOKUP($B20,'Job Details'!$A$2:$J$250,6,FALSE)="Biweekly",$A20+14,IF(VLOOKUP($B20,'Job Details'!$A$2:$J$250,6,FALSE)="Monthly",$A20+30,""))),""))</f>
        <v/>
      </c>
    </row>
    <row r="21">
      <c r="A21" s="35" t="n"/>
      <c r="D21" s="36">
        <f>IF($C21="","",IFERROR(VLOOKUP($C21,'Services &amp; Rates'!$A$2:$B$30,2,FALSE),""))</f>
        <v/>
      </c>
      <c r="G21" s="37">
        <f>IF(OR($A21="",$B21=""),"",IFERROR(IF(VLOOKUP($B21,'Job Details'!$A$2:$J$250,6,FALSE)="Weekly",$A21+7,IF(VLOOKUP($B21,'Job Details'!$A$2:$J$250,6,FALSE)="Biweekly",$A21+14,IF(VLOOKUP($B21,'Job Details'!$A$2:$J$250,6,FALSE)="Monthly",$A21+30,""))),""))</f>
        <v/>
      </c>
    </row>
    <row r="22">
      <c r="A22" s="35" t="n"/>
      <c r="D22" s="36">
        <f>IF($C22="","",IFERROR(VLOOKUP($C22,'Services &amp; Rates'!$A$2:$B$30,2,FALSE),""))</f>
        <v/>
      </c>
      <c r="G22" s="37">
        <f>IF(OR($A22="",$B22=""),"",IFERROR(IF(VLOOKUP($B22,'Job Details'!$A$2:$J$250,6,FALSE)="Weekly",$A22+7,IF(VLOOKUP($B22,'Job Details'!$A$2:$J$250,6,FALSE)="Biweekly",$A22+14,IF(VLOOKUP($B22,'Job Details'!$A$2:$J$250,6,FALSE)="Monthly",$A22+30,""))),""))</f>
        <v/>
      </c>
    </row>
    <row r="23">
      <c r="A23" s="35" t="n"/>
      <c r="D23" s="36">
        <f>IF($C23="","",IFERROR(VLOOKUP($C23,'Services &amp; Rates'!$A$2:$B$30,2,FALSE),""))</f>
        <v/>
      </c>
      <c r="G23" s="37">
        <f>IF(OR($A23="",$B23=""),"",IFERROR(IF(VLOOKUP($B23,'Job Details'!$A$2:$J$250,6,FALSE)="Weekly",$A23+7,IF(VLOOKUP($B23,'Job Details'!$A$2:$J$250,6,FALSE)="Biweekly",$A23+14,IF(VLOOKUP($B23,'Job Details'!$A$2:$J$250,6,FALSE)="Monthly",$A23+30,""))),""))</f>
        <v/>
      </c>
    </row>
    <row r="24">
      <c r="A24" s="35" t="n"/>
      <c r="D24" s="36">
        <f>IF($C24="","",IFERROR(VLOOKUP($C24,'Services &amp; Rates'!$A$2:$B$30,2,FALSE),""))</f>
        <v/>
      </c>
      <c r="G24" s="37">
        <f>IF(OR($A24="",$B24=""),"",IFERROR(IF(VLOOKUP($B24,'Job Details'!$A$2:$J$250,6,FALSE)="Weekly",$A24+7,IF(VLOOKUP($B24,'Job Details'!$A$2:$J$250,6,FALSE)="Biweekly",$A24+14,IF(VLOOKUP($B24,'Job Details'!$A$2:$J$250,6,FALSE)="Monthly",$A24+30,""))),""))</f>
        <v/>
      </c>
    </row>
    <row r="25">
      <c r="A25" s="35" t="n"/>
      <c r="D25" s="36">
        <f>IF($C25="","",IFERROR(VLOOKUP($C25,'Services &amp; Rates'!$A$2:$B$30,2,FALSE),""))</f>
        <v/>
      </c>
      <c r="G25" s="37">
        <f>IF(OR($A25="",$B25=""),"",IFERROR(IF(VLOOKUP($B25,'Job Details'!$A$2:$J$250,6,FALSE)="Weekly",$A25+7,IF(VLOOKUP($B25,'Job Details'!$A$2:$J$250,6,FALSE)="Biweekly",$A25+14,IF(VLOOKUP($B25,'Job Details'!$A$2:$J$250,6,FALSE)="Monthly",$A25+30,""))),""))</f>
        <v/>
      </c>
    </row>
    <row r="26">
      <c r="A26" s="35" t="n"/>
      <c r="D26" s="36">
        <f>IF($C26="","",IFERROR(VLOOKUP($C26,'Services &amp; Rates'!$A$2:$B$30,2,FALSE),""))</f>
        <v/>
      </c>
      <c r="G26" s="37">
        <f>IF(OR($A26="",$B26=""),"",IFERROR(IF(VLOOKUP($B26,'Job Details'!$A$2:$J$250,6,FALSE)="Weekly",$A26+7,IF(VLOOKUP($B26,'Job Details'!$A$2:$J$250,6,FALSE)="Biweekly",$A26+14,IF(VLOOKUP($B26,'Job Details'!$A$2:$J$250,6,FALSE)="Monthly",$A26+30,""))),""))</f>
        <v/>
      </c>
    </row>
    <row r="27">
      <c r="A27" s="35" t="n"/>
      <c r="D27" s="36">
        <f>IF($C27="","",IFERROR(VLOOKUP($C27,'Services &amp; Rates'!$A$2:$B$30,2,FALSE),""))</f>
        <v/>
      </c>
      <c r="G27" s="37">
        <f>IF(OR($A27="",$B27=""),"",IFERROR(IF(VLOOKUP($B27,'Job Details'!$A$2:$J$250,6,FALSE)="Weekly",$A27+7,IF(VLOOKUP($B27,'Job Details'!$A$2:$J$250,6,FALSE)="Biweekly",$A27+14,IF(VLOOKUP($B27,'Job Details'!$A$2:$J$250,6,FALSE)="Monthly",$A27+30,""))),""))</f>
        <v/>
      </c>
    </row>
    <row r="28">
      <c r="A28" s="35" t="n"/>
      <c r="D28" s="36">
        <f>IF($C28="","",IFERROR(VLOOKUP($C28,'Services &amp; Rates'!$A$2:$B$30,2,FALSE),""))</f>
        <v/>
      </c>
      <c r="G28" s="37">
        <f>IF(OR($A28="",$B28=""),"",IFERROR(IF(VLOOKUP($B28,'Job Details'!$A$2:$J$250,6,FALSE)="Weekly",$A28+7,IF(VLOOKUP($B28,'Job Details'!$A$2:$J$250,6,FALSE)="Biweekly",$A28+14,IF(VLOOKUP($B28,'Job Details'!$A$2:$J$250,6,FALSE)="Monthly",$A28+30,""))),""))</f>
        <v/>
      </c>
    </row>
    <row r="29">
      <c r="A29" s="35" t="n"/>
      <c r="D29" s="36">
        <f>IF($C29="","",IFERROR(VLOOKUP($C29,'Services &amp; Rates'!$A$2:$B$30,2,FALSE),""))</f>
        <v/>
      </c>
      <c r="G29" s="37">
        <f>IF(OR($A29="",$B29=""),"",IFERROR(IF(VLOOKUP($B29,'Job Details'!$A$2:$J$250,6,FALSE)="Weekly",$A29+7,IF(VLOOKUP($B29,'Job Details'!$A$2:$J$250,6,FALSE)="Biweekly",$A29+14,IF(VLOOKUP($B29,'Job Details'!$A$2:$J$250,6,FALSE)="Monthly",$A29+30,""))),""))</f>
        <v/>
      </c>
    </row>
    <row r="30">
      <c r="A30" s="35" t="n"/>
      <c r="D30" s="36">
        <f>IF($C30="","",IFERROR(VLOOKUP($C30,'Services &amp; Rates'!$A$2:$B$30,2,FALSE),""))</f>
        <v/>
      </c>
      <c r="G30" s="37">
        <f>IF(OR($A30="",$B30=""),"",IFERROR(IF(VLOOKUP($B30,'Job Details'!$A$2:$J$250,6,FALSE)="Weekly",$A30+7,IF(VLOOKUP($B30,'Job Details'!$A$2:$J$250,6,FALSE)="Biweekly",$A30+14,IF(VLOOKUP($B30,'Job Details'!$A$2:$J$250,6,FALSE)="Monthly",$A30+30,""))),""))</f>
        <v/>
      </c>
    </row>
    <row r="31">
      <c r="A31" s="35" t="n"/>
      <c r="D31" s="36">
        <f>IF($C31="","",IFERROR(VLOOKUP($C31,'Services &amp; Rates'!$A$2:$B$30,2,FALSE),""))</f>
        <v/>
      </c>
      <c r="G31" s="37">
        <f>IF(OR($A31="",$B31=""),"",IFERROR(IF(VLOOKUP($B31,'Job Details'!$A$2:$J$250,6,FALSE)="Weekly",$A31+7,IF(VLOOKUP($B31,'Job Details'!$A$2:$J$250,6,FALSE)="Biweekly",$A31+14,IF(VLOOKUP($B31,'Job Details'!$A$2:$J$250,6,FALSE)="Monthly",$A31+30,""))),""))</f>
        <v/>
      </c>
    </row>
    <row r="32">
      <c r="A32" s="35" t="n"/>
      <c r="D32" s="36">
        <f>IF($C32="","",IFERROR(VLOOKUP($C32,'Services &amp; Rates'!$A$2:$B$30,2,FALSE),""))</f>
        <v/>
      </c>
      <c r="G32" s="37">
        <f>IF(OR($A32="",$B32=""),"",IFERROR(IF(VLOOKUP($B32,'Job Details'!$A$2:$J$250,6,FALSE)="Weekly",$A32+7,IF(VLOOKUP($B32,'Job Details'!$A$2:$J$250,6,FALSE)="Biweekly",$A32+14,IF(VLOOKUP($B32,'Job Details'!$A$2:$J$250,6,FALSE)="Monthly",$A32+30,""))),""))</f>
        <v/>
      </c>
    </row>
    <row r="33">
      <c r="A33" s="35" t="n"/>
      <c r="D33" s="36">
        <f>IF($C33="","",IFERROR(VLOOKUP($C33,'Services &amp; Rates'!$A$2:$B$30,2,FALSE),""))</f>
        <v/>
      </c>
      <c r="G33" s="37">
        <f>IF(OR($A33="",$B33=""),"",IFERROR(IF(VLOOKUP($B33,'Job Details'!$A$2:$J$250,6,FALSE)="Weekly",$A33+7,IF(VLOOKUP($B33,'Job Details'!$A$2:$J$250,6,FALSE)="Biweekly",$A33+14,IF(VLOOKUP($B33,'Job Details'!$A$2:$J$250,6,FALSE)="Monthly",$A33+30,""))),""))</f>
        <v/>
      </c>
    </row>
    <row r="34">
      <c r="A34" s="35" t="n"/>
      <c r="D34" s="36">
        <f>IF($C34="","",IFERROR(VLOOKUP($C34,'Services &amp; Rates'!$A$2:$B$30,2,FALSE),""))</f>
        <v/>
      </c>
      <c r="G34" s="37">
        <f>IF(OR($A34="",$B34=""),"",IFERROR(IF(VLOOKUP($B34,'Job Details'!$A$2:$J$250,6,FALSE)="Weekly",$A34+7,IF(VLOOKUP($B34,'Job Details'!$A$2:$J$250,6,FALSE)="Biweekly",$A34+14,IF(VLOOKUP($B34,'Job Details'!$A$2:$J$250,6,FALSE)="Monthly",$A34+30,""))),""))</f>
        <v/>
      </c>
    </row>
    <row r="35">
      <c r="A35" s="35" t="n"/>
      <c r="D35" s="36">
        <f>IF($C35="","",IFERROR(VLOOKUP($C35,'Services &amp; Rates'!$A$2:$B$30,2,FALSE),""))</f>
        <v/>
      </c>
      <c r="G35" s="37">
        <f>IF(OR($A35="",$B35=""),"",IFERROR(IF(VLOOKUP($B35,'Job Details'!$A$2:$J$250,6,FALSE)="Weekly",$A35+7,IF(VLOOKUP($B35,'Job Details'!$A$2:$J$250,6,FALSE)="Biweekly",$A35+14,IF(VLOOKUP($B35,'Job Details'!$A$2:$J$250,6,FALSE)="Monthly",$A35+30,""))),""))</f>
        <v/>
      </c>
    </row>
    <row r="36">
      <c r="A36" s="35" t="n"/>
      <c r="D36" s="36">
        <f>IF($C36="","",IFERROR(VLOOKUP($C36,'Services &amp; Rates'!$A$2:$B$30,2,FALSE),""))</f>
        <v/>
      </c>
      <c r="G36" s="37">
        <f>IF(OR($A36="",$B36=""),"",IFERROR(IF(VLOOKUP($B36,'Job Details'!$A$2:$J$250,6,FALSE)="Weekly",$A36+7,IF(VLOOKUP($B36,'Job Details'!$A$2:$J$250,6,FALSE)="Biweekly",$A36+14,IF(VLOOKUP($B36,'Job Details'!$A$2:$J$250,6,FALSE)="Monthly",$A36+30,""))),""))</f>
        <v/>
      </c>
    </row>
    <row r="37">
      <c r="A37" s="35" t="n"/>
      <c r="D37" s="36">
        <f>IF($C37="","",IFERROR(VLOOKUP($C37,'Services &amp; Rates'!$A$2:$B$30,2,FALSE),""))</f>
        <v/>
      </c>
      <c r="G37" s="37">
        <f>IF(OR($A37="",$B37=""),"",IFERROR(IF(VLOOKUP($B37,'Job Details'!$A$2:$J$250,6,FALSE)="Weekly",$A37+7,IF(VLOOKUP($B37,'Job Details'!$A$2:$J$250,6,FALSE)="Biweekly",$A37+14,IF(VLOOKUP($B37,'Job Details'!$A$2:$J$250,6,FALSE)="Monthly",$A37+30,""))),""))</f>
        <v/>
      </c>
    </row>
    <row r="38">
      <c r="A38" s="35" t="n"/>
      <c r="D38" s="36">
        <f>IF($C38="","",IFERROR(VLOOKUP($C38,'Services &amp; Rates'!$A$2:$B$30,2,FALSE),""))</f>
        <v/>
      </c>
      <c r="G38" s="37">
        <f>IF(OR($A38="",$B38=""),"",IFERROR(IF(VLOOKUP($B38,'Job Details'!$A$2:$J$250,6,FALSE)="Weekly",$A38+7,IF(VLOOKUP($B38,'Job Details'!$A$2:$J$250,6,FALSE)="Biweekly",$A38+14,IF(VLOOKUP($B38,'Job Details'!$A$2:$J$250,6,FALSE)="Monthly",$A38+30,""))),""))</f>
        <v/>
      </c>
    </row>
    <row r="39">
      <c r="A39" s="35" t="n"/>
      <c r="D39" s="36">
        <f>IF($C39="","",IFERROR(VLOOKUP($C39,'Services &amp; Rates'!$A$2:$B$30,2,FALSE),""))</f>
        <v/>
      </c>
      <c r="G39" s="37">
        <f>IF(OR($A39="",$B39=""),"",IFERROR(IF(VLOOKUP($B39,'Job Details'!$A$2:$J$250,6,FALSE)="Weekly",$A39+7,IF(VLOOKUP($B39,'Job Details'!$A$2:$J$250,6,FALSE)="Biweekly",$A39+14,IF(VLOOKUP($B39,'Job Details'!$A$2:$J$250,6,FALSE)="Monthly",$A39+30,""))),""))</f>
        <v/>
      </c>
    </row>
    <row r="40">
      <c r="A40" s="35" t="n"/>
      <c r="D40" s="36">
        <f>IF($C40="","",IFERROR(VLOOKUP($C40,'Services &amp; Rates'!$A$2:$B$30,2,FALSE),""))</f>
        <v/>
      </c>
      <c r="G40" s="37">
        <f>IF(OR($A40="",$B40=""),"",IFERROR(IF(VLOOKUP($B40,'Job Details'!$A$2:$J$250,6,FALSE)="Weekly",$A40+7,IF(VLOOKUP($B40,'Job Details'!$A$2:$J$250,6,FALSE)="Biweekly",$A40+14,IF(VLOOKUP($B40,'Job Details'!$A$2:$J$250,6,FALSE)="Monthly",$A40+30,""))),""))</f>
        <v/>
      </c>
    </row>
    <row r="41">
      <c r="A41" s="35" t="n"/>
      <c r="D41" s="36">
        <f>IF($C41="","",IFERROR(VLOOKUP($C41,'Services &amp; Rates'!$A$2:$B$30,2,FALSE),""))</f>
        <v/>
      </c>
      <c r="G41" s="37">
        <f>IF(OR($A41="",$B41=""),"",IFERROR(IF(VLOOKUP($B41,'Job Details'!$A$2:$J$250,6,FALSE)="Weekly",$A41+7,IF(VLOOKUP($B41,'Job Details'!$A$2:$J$250,6,FALSE)="Biweekly",$A41+14,IF(VLOOKUP($B41,'Job Details'!$A$2:$J$250,6,FALSE)="Monthly",$A41+30,""))),""))</f>
        <v/>
      </c>
    </row>
    <row r="42">
      <c r="A42" s="35" t="n"/>
      <c r="D42" s="36">
        <f>IF($C42="","",IFERROR(VLOOKUP($C42,'Services &amp; Rates'!$A$2:$B$30,2,FALSE),""))</f>
        <v/>
      </c>
      <c r="G42" s="37">
        <f>IF(OR($A42="",$B42=""),"",IFERROR(IF(VLOOKUP($B42,'Job Details'!$A$2:$J$250,6,FALSE)="Weekly",$A42+7,IF(VLOOKUP($B42,'Job Details'!$A$2:$J$250,6,FALSE)="Biweekly",$A42+14,IF(VLOOKUP($B42,'Job Details'!$A$2:$J$250,6,FALSE)="Monthly",$A42+30,""))),""))</f>
        <v/>
      </c>
    </row>
    <row r="43">
      <c r="A43" s="35" t="n"/>
      <c r="D43" s="36">
        <f>IF($C43="","",IFERROR(VLOOKUP($C43,'Services &amp; Rates'!$A$2:$B$30,2,FALSE),""))</f>
        <v/>
      </c>
      <c r="G43" s="37">
        <f>IF(OR($A43="",$B43=""),"",IFERROR(IF(VLOOKUP($B43,'Job Details'!$A$2:$J$250,6,FALSE)="Weekly",$A43+7,IF(VLOOKUP($B43,'Job Details'!$A$2:$J$250,6,FALSE)="Biweekly",$A43+14,IF(VLOOKUP($B43,'Job Details'!$A$2:$J$250,6,FALSE)="Monthly",$A43+30,""))),""))</f>
        <v/>
      </c>
    </row>
    <row r="44">
      <c r="A44" s="35" t="n"/>
      <c r="D44" s="36">
        <f>IF($C44="","",IFERROR(VLOOKUP($C44,'Services &amp; Rates'!$A$2:$B$30,2,FALSE),""))</f>
        <v/>
      </c>
      <c r="G44" s="37">
        <f>IF(OR($A44="",$B44=""),"",IFERROR(IF(VLOOKUP($B44,'Job Details'!$A$2:$J$250,6,FALSE)="Weekly",$A44+7,IF(VLOOKUP($B44,'Job Details'!$A$2:$J$250,6,FALSE)="Biweekly",$A44+14,IF(VLOOKUP($B44,'Job Details'!$A$2:$J$250,6,FALSE)="Monthly",$A44+30,""))),""))</f>
        <v/>
      </c>
    </row>
    <row r="45">
      <c r="A45" s="35" t="n"/>
      <c r="D45" s="36">
        <f>IF($C45="","",IFERROR(VLOOKUP($C45,'Services &amp; Rates'!$A$2:$B$30,2,FALSE),""))</f>
        <v/>
      </c>
      <c r="G45" s="37">
        <f>IF(OR($A45="",$B45=""),"",IFERROR(IF(VLOOKUP($B45,'Job Details'!$A$2:$J$250,6,FALSE)="Weekly",$A45+7,IF(VLOOKUP($B45,'Job Details'!$A$2:$J$250,6,FALSE)="Biweekly",$A45+14,IF(VLOOKUP($B45,'Job Details'!$A$2:$J$250,6,FALSE)="Monthly",$A45+30,""))),""))</f>
        <v/>
      </c>
    </row>
    <row r="46">
      <c r="A46" s="35" t="n"/>
      <c r="D46" s="36">
        <f>IF($C46="","",IFERROR(VLOOKUP($C46,'Services &amp; Rates'!$A$2:$B$30,2,FALSE),""))</f>
        <v/>
      </c>
      <c r="G46" s="37">
        <f>IF(OR($A46="",$B46=""),"",IFERROR(IF(VLOOKUP($B46,'Job Details'!$A$2:$J$250,6,FALSE)="Weekly",$A46+7,IF(VLOOKUP($B46,'Job Details'!$A$2:$J$250,6,FALSE)="Biweekly",$A46+14,IF(VLOOKUP($B46,'Job Details'!$A$2:$J$250,6,FALSE)="Monthly",$A46+30,""))),""))</f>
        <v/>
      </c>
    </row>
    <row r="47">
      <c r="A47" s="35" t="n"/>
      <c r="D47" s="36">
        <f>IF($C47="","",IFERROR(VLOOKUP($C47,'Services &amp; Rates'!$A$2:$B$30,2,FALSE),""))</f>
        <v/>
      </c>
      <c r="G47" s="37">
        <f>IF(OR($A47="",$B47=""),"",IFERROR(IF(VLOOKUP($B47,'Job Details'!$A$2:$J$250,6,FALSE)="Weekly",$A47+7,IF(VLOOKUP($B47,'Job Details'!$A$2:$J$250,6,FALSE)="Biweekly",$A47+14,IF(VLOOKUP($B47,'Job Details'!$A$2:$J$250,6,FALSE)="Monthly",$A47+30,""))),""))</f>
        <v/>
      </c>
    </row>
    <row r="48">
      <c r="A48" s="35" t="n"/>
      <c r="D48" s="36">
        <f>IF($C48="","",IFERROR(VLOOKUP($C48,'Services &amp; Rates'!$A$2:$B$30,2,FALSE),""))</f>
        <v/>
      </c>
      <c r="G48" s="37">
        <f>IF(OR($A48="",$B48=""),"",IFERROR(IF(VLOOKUP($B48,'Job Details'!$A$2:$J$250,6,FALSE)="Weekly",$A48+7,IF(VLOOKUP($B48,'Job Details'!$A$2:$J$250,6,FALSE)="Biweekly",$A48+14,IF(VLOOKUP($B48,'Job Details'!$A$2:$J$250,6,FALSE)="Monthly",$A48+30,""))),""))</f>
        <v/>
      </c>
    </row>
    <row r="49">
      <c r="A49" s="35" t="n"/>
      <c r="D49" s="36">
        <f>IF($C49="","",IFERROR(VLOOKUP($C49,'Services &amp; Rates'!$A$2:$B$30,2,FALSE),""))</f>
        <v/>
      </c>
      <c r="G49" s="37">
        <f>IF(OR($A49="",$B49=""),"",IFERROR(IF(VLOOKUP($B49,'Job Details'!$A$2:$J$250,6,FALSE)="Weekly",$A49+7,IF(VLOOKUP($B49,'Job Details'!$A$2:$J$250,6,FALSE)="Biweekly",$A49+14,IF(VLOOKUP($B49,'Job Details'!$A$2:$J$250,6,FALSE)="Monthly",$A49+30,""))),""))</f>
        <v/>
      </c>
    </row>
    <row r="50">
      <c r="A50" s="35" t="n"/>
      <c r="D50" s="36">
        <f>IF($C50="","",IFERROR(VLOOKUP($C50,'Services &amp; Rates'!$A$2:$B$30,2,FALSE),""))</f>
        <v/>
      </c>
      <c r="G50" s="37">
        <f>IF(OR($A50="",$B50=""),"",IFERROR(IF(VLOOKUP($B50,'Job Details'!$A$2:$J$250,6,FALSE)="Weekly",$A50+7,IF(VLOOKUP($B50,'Job Details'!$A$2:$J$250,6,FALSE)="Biweekly",$A50+14,IF(VLOOKUP($B50,'Job Details'!$A$2:$J$250,6,FALSE)="Monthly",$A50+30,""))),""))</f>
        <v/>
      </c>
    </row>
    <row r="51">
      <c r="A51" s="35" t="n"/>
      <c r="D51" s="36">
        <f>IF($C51="","",IFERROR(VLOOKUP($C51,'Services &amp; Rates'!$A$2:$B$30,2,FALSE),""))</f>
        <v/>
      </c>
      <c r="G51" s="37">
        <f>IF(OR($A51="",$B51=""),"",IFERROR(IF(VLOOKUP($B51,'Job Details'!$A$2:$J$250,6,FALSE)="Weekly",$A51+7,IF(VLOOKUP($B51,'Job Details'!$A$2:$J$250,6,FALSE)="Biweekly",$A51+14,IF(VLOOKUP($B51,'Job Details'!$A$2:$J$250,6,FALSE)="Monthly",$A51+30,""))),""))</f>
        <v/>
      </c>
    </row>
    <row r="52">
      <c r="A52" s="35" t="n"/>
      <c r="D52" s="36">
        <f>IF($C52="","",IFERROR(VLOOKUP($C52,'Services &amp; Rates'!$A$2:$B$30,2,FALSE),""))</f>
        <v/>
      </c>
      <c r="G52" s="37">
        <f>IF(OR($A52="",$B52=""),"",IFERROR(IF(VLOOKUP($B52,'Job Details'!$A$2:$J$250,6,FALSE)="Weekly",$A52+7,IF(VLOOKUP($B52,'Job Details'!$A$2:$J$250,6,FALSE)="Biweekly",$A52+14,IF(VLOOKUP($B52,'Job Details'!$A$2:$J$250,6,FALSE)="Monthly",$A52+30,""))),""))</f>
        <v/>
      </c>
    </row>
    <row r="53">
      <c r="A53" s="35" t="n"/>
      <c r="D53" s="36">
        <f>IF($C53="","",IFERROR(VLOOKUP($C53,'Services &amp; Rates'!$A$2:$B$30,2,FALSE),""))</f>
        <v/>
      </c>
      <c r="G53" s="37">
        <f>IF(OR($A53="",$B53=""),"",IFERROR(IF(VLOOKUP($B53,'Job Details'!$A$2:$J$250,6,FALSE)="Weekly",$A53+7,IF(VLOOKUP($B53,'Job Details'!$A$2:$J$250,6,FALSE)="Biweekly",$A53+14,IF(VLOOKUP($B53,'Job Details'!$A$2:$J$250,6,FALSE)="Monthly",$A53+30,""))),""))</f>
        <v/>
      </c>
    </row>
    <row r="54">
      <c r="A54" s="35" t="n"/>
      <c r="D54" s="36">
        <f>IF($C54="","",IFERROR(VLOOKUP($C54,'Services &amp; Rates'!$A$2:$B$30,2,FALSE),""))</f>
        <v/>
      </c>
      <c r="G54" s="37">
        <f>IF(OR($A54="",$B54=""),"",IFERROR(IF(VLOOKUP($B54,'Job Details'!$A$2:$J$250,6,FALSE)="Weekly",$A54+7,IF(VLOOKUP($B54,'Job Details'!$A$2:$J$250,6,FALSE)="Biweekly",$A54+14,IF(VLOOKUP($B54,'Job Details'!$A$2:$J$250,6,FALSE)="Monthly",$A54+30,""))),""))</f>
        <v/>
      </c>
    </row>
    <row r="55">
      <c r="A55" s="35" t="n"/>
      <c r="D55" s="36">
        <f>IF($C55="","",IFERROR(VLOOKUP($C55,'Services &amp; Rates'!$A$2:$B$30,2,FALSE),""))</f>
        <v/>
      </c>
      <c r="G55" s="37">
        <f>IF(OR($A55="",$B55=""),"",IFERROR(IF(VLOOKUP($B55,'Job Details'!$A$2:$J$250,6,FALSE)="Weekly",$A55+7,IF(VLOOKUP($B55,'Job Details'!$A$2:$J$250,6,FALSE)="Biweekly",$A55+14,IF(VLOOKUP($B55,'Job Details'!$A$2:$J$250,6,FALSE)="Monthly",$A55+30,""))),""))</f>
        <v/>
      </c>
    </row>
    <row r="56">
      <c r="A56" s="35" t="n"/>
      <c r="D56" s="36">
        <f>IF($C56="","",IFERROR(VLOOKUP($C56,'Services &amp; Rates'!$A$2:$B$30,2,FALSE),""))</f>
        <v/>
      </c>
      <c r="G56" s="37">
        <f>IF(OR($A56="",$B56=""),"",IFERROR(IF(VLOOKUP($B56,'Job Details'!$A$2:$J$250,6,FALSE)="Weekly",$A56+7,IF(VLOOKUP($B56,'Job Details'!$A$2:$J$250,6,FALSE)="Biweekly",$A56+14,IF(VLOOKUP($B56,'Job Details'!$A$2:$J$250,6,FALSE)="Monthly",$A56+30,""))),""))</f>
        <v/>
      </c>
    </row>
    <row r="57">
      <c r="A57" s="35" t="n"/>
      <c r="D57" s="36">
        <f>IF($C57="","",IFERROR(VLOOKUP($C57,'Services &amp; Rates'!$A$2:$B$30,2,FALSE),""))</f>
        <v/>
      </c>
      <c r="G57" s="37">
        <f>IF(OR($A57="",$B57=""),"",IFERROR(IF(VLOOKUP($B57,'Job Details'!$A$2:$J$250,6,FALSE)="Weekly",$A57+7,IF(VLOOKUP($B57,'Job Details'!$A$2:$J$250,6,FALSE)="Biweekly",$A57+14,IF(VLOOKUP($B57,'Job Details'!$A$2:$J$250,6,FALSE)="Monthly",$A57+30,""))),""))</f>
        <v/>
      </c>
    </row>
    <row r="58">
      <c r="A58" s="35" t="n"/>
      <c r="D58" s="36">
        <f>IF($C58="","",IFERROR(VLOOKUP($C58,'Services &amp; Rates'!$A$2:$B$30,2,FALSE),""))</f>
        <v/>
      </c>
      <c r="G58" s="37">
        <f>IF(OR($A58="",$B58=""),"",IFERROR(IF(VLOOKUP($B58,'Job Details'!$A$2:$J$250,6,FALSE)="Weekly",$A58+7,IF(VLOOKUP($B58,'Job Details'!$A$2:$J$250,6,FALSE)="Biweekly",$A58+14,IF(VLOOKUP($B58,'Job Details'!$A$2:$J$250,6,FALSE)="Monthly",$A58+30,""))),""))</f>
        <v/>
      </c>
    </row>
    <row r="59">
      <c r="A59" s="35" t="n"/>
      <c r="D59" s="36">
        <f>IF($C59="","",IFERROR(VLOOKUP($C59,'Services &amp; Rates'!$A$2:$B$30,2,FALSE),""))</f>
        <v/>
      </c>
      <c r="G59" s="37">
        <f>IF(OR($A59="",$B59=""),"",IFERROR(IF(VLOOKUP($B59,'Job Details'!$A$2:$J$250,6,FALSE)="Weekly",$A59+7,IF(VLOOKUP($B59,'Job Details'!$A$2:$J$250,6,FALSE)="Biweekly",$A59+14,IF(VLOOKUP($B59,'Job Details'!$A$2:$J$250,6,FALSE)="Monthly",$A59+30,""))),""))</f>
        <v/>
      </c>
    </row>
    <row r="60">
      <c r="A60" s="35" t="n"/>
      <c r="D60" s="36">
        <f>IF($C60="","",IFERROR(VLOOKUP($C60,'Services &amp; Rates'!$A$2:$B$30,2,FALSE),""))</f>
        <v/>
      </c>
      <c r="G60" s="37">
        <f>IF(OR($A60="",$B60=""),"",IFERROR(IF(VLOOKUP($B60,'Job Details'!$A$2:$J$250,6,FALSE)="Weekly",$A60+7,IF(VLOOKUP($B60,'Job Details'!$A$2:$J$250,6,FALSE)="Biweekly",$A60+14,IF(VLOOKUP($B60,'Job Details'!$A$2:$J$250,6,FALSE)="Monthly",$A60+30,""))),""))</f>
        <v/>
      </c>
    </row>
    <row r="61">
      <c r="A61" s="35" t="n"/>
      <c r="D61" s="36">
        <f>IF($C61="","",IFERROR(VLOOKUP($C61,'Services &amp; Rates'!$A$2:$B$30,2,FALSE),""))</f>
        <v/>
      </c>
      <c r="G61" s="37">
        <f>IF(OR($A61="",$B61=""),"",IFERROR(IF(VLOOKUP($B61,'Job Details'!$A$2:$J$250,6,FALSE)="Weekly",$A61+7,IF(VLOOKUP($B61,'Job Details'!$A$2:$J$250,6,FALSE)="Biweekly",$A61+14,IF(VLOOKUP($B61,'Job Details'!$A$2:$J$250,6,FALSE)="Monthly",$A61+30,""))),""))</f>
        <v/>
      </c>
    </row>
    <row r="62">
      <c r="A62" s="35" t="n"/>
      <c r="D62" s="36">
        <f>IF($C62="","",IFERROR(VLOOKUP($C62,'Services &amp; Rates'!$A$2:$B$30,2,FALSE),""))</f>
        <v/>
      </c>
      <c r="G62" s="37">
        <f>IF(OR($A62="",$B62=""),"",IFERROR(IF(VLOOKUP($B62,'Job Details'!$A$2:$J$250,6,FALSE)="Weekly",$A62+7,IF(VLOOKUP($B62,'Job Details'!$A$2:$J$250,6,FALSE)="Biweekly",$A62+14,IF(VLOOKUP($B62,'Job Details'!$A$2:$J$250,6,FALSE)="Monthly",$A62+30,""))),""))</f>
        <v/>
      </c>
    </row>
    <row r="63">
      <c r="A63" s="35" t="n"/>
      <c r="D63" s="36">
        <f>IF($C63="","",IFERROR(VLOOKUP($C63,'Services &amp; Rates'!$A$2:$B$30,2,FALSE),""))</f>
        <v/>
      </c>
      <c r="G63" s="37">
        <f>IF(OR($A63="",$B63=""),"",IFERROR(IF(VLOOKUP($B63,'Job Details'!$A$2:$J$250,6,FALSE)="Weekly",$A63+7,IF(VLOOKUP($B63,'Job Details'!$A$2:$J$250,6,FALSE)="Biweekly",$A63+14,IF(VLOOKUP($B63,'Job Details'!$A$2:$J$250,6,FALSE)="Monthly",$A63+30,""))),""))</f>
        <v/>
      </c>
    </row>
    <row r="64">
      <c r="A64" s="35" t="n"/>
      <c r="D64" s="36">
        <f>IF($C64="","",IFERROR(VLOOKUP($C64,'Services &amp; Rates'!$A$2:$B$30,2,FALSE),""))</f>
        <v/>
      </c>
      <c r="G64" s="37">
        <f>IF(OR($A64="",$B64=""),"",IFERROR(IF(VLOOKUP($B64,'Job Details'!$A$2:$J$250,6,FALSE)="Weekly",$A64+7,IF(VLOOKUP($B64,'Job Details'!$A$2:$J$250,6,FALSE)="Biweekly",$A64+14,IF(VLOOKUP($B64,'Job Details'!$A$2:$J$250,6,FALSE)="Monthly",$A64+30,""))),""))</f>
        <v/>
      </c>
    </row>
    <row r="65">
      <c r="A65" s="35" t="n"/>
      <c r="D65" s="36">
        <f>IF($C65="","",IFERROR(VLOOKUP($C65,'Services &amp; Rates'!$A$2:$B$30,2,FALSE),""))</f>
        <v/>
      </c>
      <c r="G65" s="37">
        <f>IF(OR($A65="",$B65=""),"",IFERROR(IF(VLOOKUP($B65,'Job Details'!$A$2:$J$250,6,FALSE)="Weekly",$A65+7,IF(VLOOKUP($B65,'Job Details'!$A$2:$J$250,6,FALSE)="Biweekly",$A65+14,IF(VLOOKUP($B65,'Job Details'!$A$2:$J$250,6,FALSE)="Monthly",$A65+30,""))),""))</f>
        <v/>
      </c>
    </row>
    <row r="66">
      <c r="A66" s="35" t="n"/>
      <c r="D66" s="36">
        <f>IF($C66="","",IFERROR(VLOOKUP($C66,'Services &amp; Rates'!$A$2:$B$30,2,FALSE),""))</f>
        <v/>
      </c>
      <c r="G66" s="37">
        <f>IF(OR($A66="",$B66=""),"",IFERROR(IF(VLOOKUP($B66,'Job Details'!$A$2:$J$250,6,FALSE)="Weekly",$A66+7,IF(VLOOKUP($B66,'Job Details'!$A$2:$J$250,6,FALSE)="Biweekly",$A66+14,IF(VLOOKUP($B66,'Job Details'!$A$2:$J$250,6,FALSE)="Monthly",$A66+30,""))),""))</f>
        <v/>
      </c>
    </row>
    <row r="67">
      <c r="A67" s="35" t="n"/>
      <c r="D67" s="36">
        <f>IF($C67="","",IFERROR(VLOOKUP($C67,'Services &amp; Rates'!$A$2:$B$30,2,FALSE),""))</f>
        <v/>
      </c>
      <c r="G67" s="37">
        <f>IF(OR($A67="",$B67=""),"",IFERROR(IF(VLOOKUP($B67,'Job Details'!$A$2:$J$250,6,FALSE)="Weekly",$A67+7,IF(VLOOKUP($B67,'Job Details'!$A$2:$J$250,6,FALSE)="Biweekly",$A67+14,IF(VLOOKUP($B67,'Job Details'!$A$2:$J$250,6,FALSE)="Monthly",$A67+30,""))),""))</f>
        <v/>
      </c>
    </row>
    <row r="68">
      <c r="A68" s="35" t="n"/>
      <c r="D68" s="36">
        <f>IF($C68="","",IFERROR(VLOOKUP($C68,'Services &amp; Rates'!$A$2:$B$30,2,FALSE),""))</f>
        <v/>
      </c>
      <c r="G68" s="37">
        <f>IF(OR($A68="",$B68=""),"",IFERROR(IF(VLOOKUP($B68,'Job Details'!$A$2:$J$250,6,FALSE)="Weekly",$A68+7,IF(VLOOKUP($B68,'Job Details'!$A$2:$J$250,6,FALSE)="Biweekly",$A68+14,IF(VLOOKUP($B68,'Job Details'!$A$2:$J$250,6,FALSE)="Monthly",$A68+30,""))),""))</f>
        <v/>
      </c>
    </row>
    <row r="69">
      <c r="A69" s="35" t="n"/>
      <c r="D69" s="36">
        <f>IF($C69="","",IFERROR(VLOOKUP($C69,'Services &amp; Rates'!$A$2:$B$30,2,FALSE),""))</f>
        <v/>
      </c>
      <c r="G69" s="37">
        <f>IF(OR($A69="",$B69=""),"",IFERROR(IF(VLOOKUP($B69,'Job Details'!$A$2:$J$250,6,FALSE)="Weekly",$A69+7,IF(VLOOKUP($B69,'Job Details'!$A$2:$J$250,6,FALSE)="Biweekly",$A69+14,IF(VLOOKUP($B69,'Job Details'!$A$2:$J$250,6,FALSE)="Monthly",$A69+30,""))),""))</f>
        <v/>
      </c>
    </row>
    <row r="70">
      <c r="A70" s="35" t="n"/>
      <c r="D70" s="36">
        <f>IF($C70="","",IFERROR(VLOOKUP($C70,'Services &amp; Rates'!$A$2:$B$30,2,FALSE),""))</f>
        <v/>
      </c>
      <c r="G70" s="37">
        <f>IF(OR($A70="",$B70=""),"",IFERROR(IF(VLOOKUP($B70,'Job Details'!$A$2:$J$250,6,FALSE)="Weekly",$A70+7,IF(VLOOKUP($B70,'Job Details'!$A$2:$J$250,6,FALSE)="Biweekly",$A70+14,IF(VLOOKUP($B70,'Job Details'!$A$2:$J$250,6,FALSE)="Monthly",$A70+30,""))),""))</f>
        <v/>
      </c>
    </row>
    <row r="71">
      <c r="A71" s="35" t="n"/>
      <c r="D71" s="36">
        <f>IF($C71="","",IFERROR(VLOOKUP($C71,'Services &amp; Rates'!$A$2:$B$30,2,FALSE),""))</f>
        <v/>
      </c>
      <c r="G71" s="37">
        <f>IF(OR($A71="",$B71=""),"",IFERROR(IF(VLOOKUP($B71,'Job Details'!$A$2:$J$250,6,FALSE)="Weekly",$A71+7,IF(VLOOKUP($B71,'Job Details'!$A$2:$J$250,6,FALSE)="Biweekly",$A71+14,IF(VLOOKUP($B71,'Job Details'!$A$2:$J$250,6,FALSE)="Monthly",$A71+30,""))),""))</f>
        <v/>
      </c>
    </row>
    <row r="72">
      <c r="A72" s="35" t="n"/>
      <c r="D72" s="36">
        <f>IF($C72="","",IFERROR(VLOOKUP($C72,'Services &amp; Rates'!$A$2:$B$30,2,FALSE),""))</f>
        <v/>
      </c>
      <c r="G72" s="37">
        <f>IF(OR($A72="",$B72=""),"",IFERROR(IF(VLOOKUP($B72,'Job Details'!$A$2:$J$250,6,FALSE)="Weekly",$A72+7,IF(VLOOKUP($B72,'Job Details'!$A$2:$J$250,6,FALSE)="Biweekly",$A72+14,IF(VLOOKUP($B72,'Job Details'!$A$2:$J$250,6,FALSE)="Monthly",$A72+30,""))),""))</f>
        <v/>
      </c>
    </row>
    <row r="73">
      <c r="A73" s="35" t="n"/>
      <c r="D73" s="36">
        <f>IF($C73="","",IFERROR(VLOOKUP($C73,'Services &amp; Rates'!$A$2:$B$30,2,FALSE),""))</f>
        <v/>
      </c>
      <c r="G73" s="37">
        <f>IF(OR($A73="",$B73=""),"",IFERROR(IF(VLOOKUP($B73,'Job Details'!$A$2:$J$250,6,FALSE)="Weekly",$A73+7,IF(VLOOKUP($B73,'Job Details'!$A$2:$J$250,6,FALSE)="Biweekly",$A73+14,IF(VLOOKUP($B73,'Job Details'!$A$2:$J$250,6,FALSE)="Monthly",$A73+30,""))),""))</f>
        <v/>
      </c>
    </row>
    <row r="74">
      <c r="A74" s="35" t="n"/>
      <c r="D74" s="36">
        <f>IF($C74="","",IFERROR(VLOOKUP($C74,'Services &amp; Rates'!$A$2:$B$30,2,FALSE),""))</f>
        <v/>
      </c>
      <c r="G74" s="37">
        <f>IF(OR($A74="",$B74=""),"",IFERROR(IF(VLOOKUP($B74,'Job Details'!$A$2:$J$250,6,FALSE)="Weekly",$A74+7,IF(VLOOKUP($B74,'Job Details'!$A$2:$J$250,6,FALSE)="Biweekly",$A74+14,IF(VLOOKUP($B74,'Job Details'!$A$2:$J$250,6,FALSE)="Monthly",$A74+30,""))),""))</f>
        <v/>
      </c>
    </row>
    <row r="75">
      <c r="A75" s="35" t="n"/>
      <c r="D75" s="36">
        <f>IF($C75="","",IFERROR(VLOOKUP($C75,'Services &amp; Rates'!$A$2:$B$30,2,FALSE),""))</f>
        <v/>
      </c>
      <c r="G75" s="37">
        <f>IF(OR($A75="",$B75=""),"",IFERROR(IF(VLOOKUP($B75,'Job Details'!$A$2:$J$250,6,FALSE)="Weekly",$A75+7,IF(VLOOKUP($B75,'Job Details'!$A$2:$J$250,6,FALSE)="Biweekly",$A75+14,IF(VLOOKUP($B75,'Job Details'!$A$2:$J$250,6,FALSE)="Monthly",$A75+30,""))),""))</f>
        <v/>
      </c>
    </row>
    <row r="76">
      <c r="A76" s="35" t="n"/>
      <c r="D76" s="36">
        <f>IF($C76="","",IFERROR(VLOOKUP($C76,'Services &amp; Rates'!$A$2:$B$30,2,FALSE),""))</f>
        <v/>
      </c>
      <c r="G76" s="37">
        <f>IF(OR($A76="",$B76=""),"",IFERROR(IF(VLOOKUP($B76,'Job Details'!$A$2:$J$250,6,FALSE)="Weekly",$A76+7,IF(VLOOKUP($B76,'Job Details'!$A$2:$J$250,6,FALSE)="Biweekly",$A76+14,IF(VLOOKUP($B76,'Job Details'!$A$2:$J$250,6,FALSE)="Monthly",$A76+30,""))),""))</f>
        <v/>
      </c>
    </row>
    <row r="77">
      <c r="A77" s="35" t="n"/>
      <c r="D77" s="36">
        <f>IF($C77="","",IFERROR(VLOOKUP($C77,'Services &amp; Rates'!$A$2:$B$30,2,FALSE),""))</f>
        <v/>
      </c>
      <c r="G77" s="37">
        <f>IF(OR($A77="",$B77=""),"",IFERROR(IF(VLOOKUP($B77,'Job Details'!$A$2:$J$250,6,FALSE)="Weekly",$A77+7,IF(VLOOKUP($B77,'Job Details'!$A$2:$J$250,6,FALSE)="Biweekly",$A77+14,IF(VLOOKUP($B77,'Job Details'!$A$2:$J$250,6,FALSE)="Monthly",$A77+30,""))),""))</f>
        <v/>
      </c>
    </row>
    <row r="78">
      <c r="A78" s="35" t="n"/>
      <c r="D78" s="36">
        <f>IF($C78="","",IFERROR(VLOOKUP($C78,'Services &amp; Rates'!$A$2:$B$30,2,FALSE),""))</f>
        <v/>
      </c>
      <c r="G78" s="37">
        <f>IF(OR($A78="",$B78=""),"",IFERROR(IF(VLOOKUP($B78,'Job Details'!$A$2:$J$250,6,FALSE)="Weekly",$A78+7,IF(VLOOKUP($B78,'Job Details'!$A$2:$J$250,6,FALSE)="Biweekly",$A78+14,IF(VLOOKUP($B78,'Job Details'!$A$2:$J$250,6,FALSE)="Monthly",$A78+30,""))),""))</f>
        <v/>
      </c>
    </row>
    <row r="79">
      <c r="A79" s="35" t="n"/>
      <c r="D79" s="36">
        <f>IF($C79="","",IFERROR(VLOOKUP($C79,'Services &amp; Rates'!$A$2:$B$30,2,FALSE),""))</f>
        <v/>
      </c>
      <c r="G79" s="37">
        <f>IF(OR($A79="",$B79=""),"",IFERROR(IF(VLOOKUP($B79,'Job Details'!$A$2:$J$250,6,FALSE)="Weekly",$A79+7,IF(VLOOKUP($B79,'Job Details'!$A$2:$J$250,6,FALSE)="Biweekly",$A79+14,IF(VLOOKUP($B79,'Job Details'!$A$2:$J$250,6,FALSE)="Monthly",$A79+30,""))),""))</f>
        <v/>
      </c>
    </row>
    <row r="80">
      <c r="A80" s="35" t="n"/>
      <c r="D80" s="36">
        <f>IF($C80="","",IFERROR(VLOOKUP($C80,'Services &amp; Rates'!$A$2:$B$30,2,FALSE),""))</f>
        <v/>
      </c>
      <c r="G80" s="37">
        <f>IF(OR($A80="",$B80=""),"",IFERROR(IF(VLOOKUP($B80,'Job Details'!$A$2:$J$250,6,FALSE)="Weekly",$A80+7,IF(VLOOKUP($B80,'Job Details'!$A$2:$J$250,6,FALSE)="Biweekly",$A80+14,IF(VLOOKUP($B80,'Job Details'!$A$2:$J$250,6,FALSE)="Monthly",$A80+30,""))),""))</f>
        <v/>
      </c>
    </row>
    <row r="81">
      <c r="A81" s="35" t="n"/>
      <c r="D81" s="36">
        <f>IF($C81="","",IFERROR(VLOOKUP($C81,'Services &amp; Rates'!$A$2:$B$30,2,FALSE),""))</f>
        <v/>
      </c>
      <c r="G81" s="37">
        <f>IF(OR($A81="",$B81=""),"",IFERROR(IF(VLOOKUP($B81,'Job Details'!$A$2:$J$250,6,FALSE)="Weekly",$A81+7,IF(VLOOKUP($B81,'Job Details'!$A$2:$J$250,6,FALSE)="Biweekly",$A81+14,IF(VLOOKUP($B81,'Job Details'!$A$2:$J$250,6,FALSE)="Monthly",$A81+30,""))),""))</f>
        <v/>
      </c>
    </row>
    <row r="82">
      <c r="A82" s="35" t="n"/>
      <c r="D82" s="36">
        <f>IF($C82="","",IFERROR(VLOOKUP($C82,'Services &amp; Rates'!$A$2:$B$30,2,FALSE),""))</f>
        <v/>
      </c>
      <c r="G82" s="37">
        <f>IF(OR($A82="",$B82=""),"",IFERROR(IF(VLOOKUP($B82,'Job Details'!$A$2:$J$250,6,FALSE)="Weekly",$A82+7,IF(VLOOKUP($B82,'Job Details'!$A$2:$J$250,6,FALSE)="Biweekly",$A82+14,IF(VLOOKUP($B82,'Job Details'!$A$2:$J$250,6,FALSE)="Monthly",$A82+30,""))),""))</f>
        <v/>
      </c>
    </row>
    <row r="83">
      <c r="A83" s="35" t="n"/>
      <c r="D83" s="36">
        <f>IF($C83="","",IFERROR(VLOOKUP($C83,'Services &amp; Rates'!$A$2:$B$30,2,FALSE),""))</f>
        <v/>
      </c>
      <c r="G83" s="37">
        <f>IF(OR($A83="",$B83=""),"",IFERROR(IF(VLOOKUP($B83,'Job Details'!$A$2:$J$250,6,FALSE)="Weekly",$A83+7,IF(VLOOKUP($B83,'Job Details'!$A$2:$J$250,6,FALSE)="Biweekly",$A83+14,IF(VLOOKUP($B83,'Job Details'!$A$2:$J$250,6,FALSE)="Monthly",$A83+30,""))),""))</f>
        <v/>
      </c>
    </row>
    <row r="84">
      <c r="A84" s="35" t="n"/>
      <c r="D84" s="36">
        <f>IF($C84="","",IFERROR(VLOOKUP($C84,'Services &amp; Rates'!$A$2:$B$30,2,FALSE),""))</f>
        <v/>
      </c>
      <c r="G84" s="37">
        <f>IF(OR($A84="",$B84=""),"",IFERROR(IF(VLOOKUP($B84,'Job Details'!$A$2:$J$250,6,FALSE)="Weekly",$A84+7,IF(VLOOKUP($B84,'Job Details'!$A$2:$J$250,6,FALSE)="Biweekly",$A84+14,IF(VLOOKUP($B84,'Job Details'!$A$2:$J$250,6,FALSE)="Monthly",$A84+30,""))),""))</f>
        <v/>
      </c>
    </row>
    <row r="85">
      <c r="A85" s="35" t="n"/>
      <c r="D85" s="36">
        <f>IF($C85="","",IFERROR(VLOOKUP($C85,'Services &amp; Rates'!$A$2:$B$30,2,FALSE),""))</f>
        <v/>
      </c>
      <c r="G85" s="37">
        <f>IF(OR($A85="",$B85=""),"",IFERROR(IF(VLOOKUP($B85,'Job Details'!$A$2:$J$250,6,FALSE)="Weekly",$A85+7,IF(VLOOKUP($B85,'Job Details'!$A$2:$J$250,6,FALSE)="Biweekly",$A85+14,IF(VLOOKUP($B85,'Job Details'!$A$2:$J$250,6,FALSE)="Monthly",$A85+30,""))),""))</f>
        <v/>
      </c>
    </row>
    <row r="86">
      <c r="A86" s="35" t="n"/>
      <c r="D86" s="36">
        <f>IF($C86="","",IFERROR(VLOOKUP($C86,'Services &amp; Rates'!$A$2:$B$30,2,FALSE),""))</f>
        <v/>
      </c>
      <c r="G86" s="37">
        <f>IF(OR($A86="",$B86=""),"",IFERROR(IF(VLOOKUP($B86,'Job Details'!$A$2:$J$250,6,FALSE)="Weekly",$A86+7,IF(VLOOKUP($B86,'Job Details'!$A$2:$J$250,6,FALSE)="Biweekly",$A86+14,IF(VLOOKUP($B86,'Job Details'!$A$2:$J$250,6,FALSE)="Monthly",$A86+30,""))),""))</f>
        <v/>
      </c>
    </row>
    <row r="87">
      <c r="A87" s="35" t="n"/>
      <c r="D87" s="36">
        <f>IF($C87="","",IFERROR(VLOOKUP($C87,'Services &amp; Rates'!$A$2:$B$30,2,FALSE),""))</f>
        <v/>
      </c>
      <c r="G87" s="37">
        <f>IF(OR($A87="",$B87=""),"",IFERROR(IF(VLOOKUP($B87,'Job Details'!$A$2:$J$250,6,FALSE)="Weekly",$A87+7,IF(VLOOKUP($B87,'Job Details'!$A$2:$J$250,6,FALSE)="Biweekly",$A87+14,IF(VLOOKUP($B87,'Job Details'!$A$2:$J$250,6,FALSE)="Monthly",$A87+30,""))),""))</f>
        <v/>
      </c>
    </row>
    <row r="88">
      <c r="A88" s="35" t="n"/>
      <c r="D88" s="36">
        <f>IF($C88="","",IFERROR(VLOOKUP($C88,'Services &amp; Rates'!$A$2:$B$30,2,FALSE),""))</f>
        <v/>
      </c>
      <c r="G88" s="37">
        <f>IF(OR($A88="",$B88=""),"",IFERROR(IF(VLOOKUP($B88,'Job Details'!$A$2:$J$250,6,FALSE)="Weekly",$A88+7,IF(VLOOKUP($B88,'Job Details'!$A$2:$J$250,6,FALSE)="Biweekly",$A88+14,IF(VLOOKUP($B88,'Job Details'!$A$2:$J$250,6,FALSE)="Monthly",$A88+30,""))),""))</f>
        <v/>
      </c>
    </row>
    <row r="89">
      <c r="A89" s="35" t="n"/>
      <c r="D89" s="36">
        <f>IF($C89="","",IFERROR(VLOOKUP($C89,'Services &amp; Rates'!$A$2:$B$30,2,FALSE),""))</f>
        <v/>
      </c>
      <c r="G89" s="37">
        <f>IF(OR($A89="",$B89=""),"",IFERROR(IF(VLOOKUP($B89,'Job Details'!$A$2:$J$250,6,FALSE)="Weekly",$A89+7,IF(VLOOKUP($B89,'Job Details'!$A$2:$J$250,6,FALSE)="Biweekly",$A89+14,IF(VLOOKUP($B89,'Job Details'!$A$2:$J$250,6,FALSE)="Monthly",$A89+30,""))),""))</f>
        <v/>
      </c>
    </row>
    <row r="90">
      <c r="A90" s="35" t="n"/>
      <c r="D90" s="36">
        <f>IF($C90="","",IFERROR(VLOOKUP($C90,'Services &amp; Rates'!$A$2:$B$30,2,FALSE),""))</f>
        <v/>
      </c>
      <c r="G90" s="37">
        <f>IF(OR($A90="",$B90=""),"",IFERROR(IF(VLOOKUP($B90,'Job Details'!$A$2:$J$250,6,FALSE)="Weekly",$A90+7,IF(VLOOKUP($B90,'Job Details'!$A$2:$J$250,6,FALSE)="Biweekly",$A90+14,IF(VLOOKUP($B90,'Job Details'!$A$2:$J$250,6,FALSE)="Monthly",$A90+30,""))),""))</f>
        <v/>
      </c>
    </row>
    <row r="91">
      <c r="A91" s="35" t="n"/>
      <c r="D91" s="36">
        <f>IF($C91="","",IFERROR(VLOOKUP($C91,'Services &amp; Rates'!$A$2:$B$30,2,FALSE),""))</f>
        <v/>
      </c>
      <c r="G91" s="37">
        <f>IF(OR($A91="",$B91=""),"",IFERROR(IF(VLOOKUP($B91,'Job Details'!$A$2:$J$250,6,FALSE)="Weekly",$A91+7,IF(VLOOKUP($B91,'Job Details'!$A$2:$J$250,6,FALSE)="Biweekly",$A91+14,IF(VLOOKUP($B91,'Job Details'!$A$2:$J$250,6,FALSE)="Monthly",$A91+30,""))),""))</f>
        <v/>
      </c>
    </row>
    <row r="92">
      <c r="A92" s="35" t="n"/>
      <c r="D92" s="36">
        <f>IF($C92="","",IFERROR(VLOOKUP($C92,'Services &amp; Rates'!$A$2:$B$30,2,FALSE),""))</f>
        <v/>
      </c>
      <c r="G92" s="37">
        <f>IF(OR($A92="",$B92=""),"",IFERROR(IF(VLOOKUP($B92,'Job Details'!$A$2:$J$250,6,FALSE)="Weekly",$A92+7,IF(VLOOKUP($B92,'Job Details'!$A$2:$J$250,6,FALSE)="Biweekly",$A92+14,IF(VLOOKUP($B92,'Job Details'!$A$2:$J$250,6,FALSE)="Monthly",$A92+30,""))),""))</f>
        <v/>
      </c>
    </row>
    <row r="93">
      <c r="A93" s="35" t="n"/>
      <c r="D93" s="36">
        <f>IF($C93="","",IFERROR(VLOOKUP($C93,'Services &amp; Rates'!$A$2:$B$30,2,FALSE),""))</f>
        <v/>
      </c>
      <c r="G93" s="37">
        <f>IF(OR($A93="",$B93=""),"",IFERROR(IF(VLOOKUP($B93,'Job Details'!$A$2:$J$250,6,FALSE)="Weekly",$A93+7,IF(VLOOKUP($B93,'Job Details'!$A$2:$J$250,6,FALSE)="Biweekly",$A93+14,IF(VLOOKUP($B93,'Job Details'!$A$2:$J$250,6,FALSE)="Monthly",$A93+30,""))),""))</f>
        <v/>
      </c>
    </row>
    <row r="94">
      <c r="A94" s="35" t="n"/>
      <c r="D94" s="36">
        <f>IF($C94="","",IFERROR(VLOOKUP($C94,'Services &amp; Rates'!$A$2:$B$30,2,FALSE),""))</f>
        <v/>
      </c>
      <c r="G94" s="37">
        <f>IF(OR($A94="",$B94=""),"",IFERROR(IF(VLOOKUP($B94,'Job Details'!$A$2:$J$250,6,FALSE)="Weekly",$A94+7,IF(VLOOKUP($B94,'Job Details'!$A$2:$J$250,6,FALSE)="Biweekly",$A94+14,IF(VLOOKUP($B94,'Job Details'!$A$2:$J$250,6,FALSE)="Monthly",$A94+30,""))),""))</f>
        <v/>
      </c>
    </row>
    <row r="95">
      <c r="A95" s="35" t="n"/>
      <c r="D95" s="36">
        <f>IF($C95="","",IFERROR(VLOOKUP($C95,'Services &amp; Rates'!$A$2:$B$30,2,FALSE),""))</f>
        <v/>
      </c>
      <c r="G95" s="37">
        <f>IF(OR($A95="",$B95=""),"",IFERROR(IF(VLOOKUP($B95,'Job Details'!$A$2:$J$250,6,FALSE)="Weekly",$A95+7,IF(VLOOKUP($B95,'Job Details'!$A$2:$J$250,6,FALSE)="Biweekly",$A95+14,IF(VLOOKUP($B95,'Job Details'!$A$2:$J$250,6,FALSE)="Monthly",$A95+30,""))),""))</f>
        <v/>
      </c>
    </row>
    <row r="96">
      <c r="A96" s="35" t="n"/>
      <c r="D96" s="36">
        <f>IF($C96="","",IFERROR(VLOOKUP($C96,'Services &amp; Rates'!$A$2:$B$30,2,FALSE),""))</f>
        <v/>
      </c>
      <c r="G96" s="37">
        <f>IF(OR($A96="",$B96=""),"",IFERROR(IF(VLOOKUP($B96,'Job Details'!$A$2:$J$250,6,FALSE)="Weekly",$A96+7,IF(VLOOKUP($B96,'Job Details'!$A$2:$J$250,6,FALSE)="Biweekly",$A96+14,IF(VLOOKUP($B96,'Job Details'!$A$2:$J$250,6,FALSE)="Monthly",$A96+30,""))),""))</f>
        <v/>
      </c>
    </row>
    <row r="97">
      <c r="A97" s="35" t="n"/>
      <c r="D97" s="36">
        <f>IF($C97="","",IFERROR(VLOOKUP($C97,'Services &amp; Rates'!$A$2:$B$30,2,FALSE),""))</f>
        <v/>
      </c>
      <c r="G97" s="37">
        <f>IF(OR($A97="",$B97=""),"",IFERROR(IF(VLOOKUP($B97,'Job Details'!$A$2:$J$250,6,FALSE)="Weekly",$A97+7,IF(VLOOKUP($B97,'Job Details'!$A$2:$J$250,6,FALSE)="Biweekly",$A97+14,IF(VLOOKUP($B97,'Job Details'!$A$2:$J$250,6,FALSE)="Monthly",$A97+30,""))),""))</f>
        <v/>
      </c>
    </row>
    <row r="98">
      <c r="A98" s="35" t="n"/>
      <c r="D98" s="36">
        <f>IF($C98="","",IFERROR(VLOOKUP($C98,'Services &amp; Rates'!$A$2:$B$30,2,FALSE),""))</f>
        <v/>
      </c>
      <c r="G98" s="37">
        <f>IF(OR($A98="",$B98=""),"",IFERROR(IF(VLOOKUP($B98,'Job Details'!$A$2:$J$250,6,FALSE)="Weekly",$A98+7,IF(VLOOKUP($B98,'Job Details'!$A$2:$J$250,6,FALSE)="Biweekly",$A98+14,IF(VLOOKUP($B98,'Job Details'!$A$2:$J$250,6,FALSE)="Monthly",$A98+30,""))),""))</f>
        <v/>
      </c>
    </row>
    <row r="99">
      <c r="A99" s="35" t="n"/>
      <c r="D99" s="36">
        <f>IF($C99="","",IFERROR(VLOOKUP($C99,'Services &amp; Rates'!$A$2:$B$30,2,FALSE),""))</f>
        <v/>
      </c>
      <c r="G99" s="37">
        <f>IF(OR($A99="",$B99=""),"",IFERROR(IF(VLOOKUP($B99,'Job Details'!$A$2:$J$250,6,FALSE)="Weekly",$A99+7,IF(VLOOKUP($B99,'Job Details'!$A$2:$J$250,6,FALSE)="Biweekly",$A99+14,IF(VLOOKUP($B99,'Job Details'!$A$2:$J$250,6,FALSE)="Monthly",$A99+30,""))),""))</f>
        <v/>
      </c>
    </row>
    <row r="100">
      <c r="A100" s="35" t="n"/>
      <c r="D100" s="36">
        <f>IF($C100="","",IFERROR(VLOOKUP($C100,'Services &amp; Rates'!$A$2:$B$30,2,FALSE),""))</f>
        <v/>
      </c>
      <c r="G100" s="37">
        <f>IF(OR($A100="",$B100=""),"",IFERROR(IF(VLOOKUP($B100,'Job Details'!$A$2:$J$250,6,FALSE)="Weekly",$A100+7,IF(VLOOKUP($B100,'Job Details'!$A$2:$J$250,6,FALSE)="Biweekly",$A100+14,IF(VLOOKUP($B100,'Job Details'!$A$2:$J$250,6,FALSE)="Monthly",$A100+30,""))),""))</f>
        <v/>
      </c>
    </row>
    <row r="101">
      <c r="A101" s="35" t="n"/>
      <c r="D101" s="36">
        <f>IF($C101="","",IFERROR(VLOOKUP($C101,'Services &amp; Rates'!$A$2:$B$30,2,FALSE),""))</f>
        <v/>
      </c>
      <c r="G101" s="37">
        <f>IF(OR($A101="",$B101=""),"",IFERROR(IF(VLOOKUP($B101,'Job Details'!$A$2:$J$250,6,FALSE)="Weekly",$A101+7,IF(VLOOKUP($B101,'Job Details'!$A$2:$J$250,6,FALSE)="Biweekly",$A101+14,IF(VLOOKUP($B101,'Job Details'!$A$2:$J$250,6,FALSE)="Monthly",$A101+30,""))),""))</f>
        <v/>
      </c>
    </row>
    <row r="102">
      <c r="A102" s="35" t="n"/>
      <c r="D102" s="36">
        <f>IF($C102="","",IFERROR(VLOOKUP($C102,'Services &amp; Rates'!$A$2:$B$30,2,FALSE),""))</f>
        <v/>
      </c>
      <c r="G102" s="37">
        <f>IF(OR($A102="",$B102=""),"",IFERROR(IF(VLOOKUP($B102,'Job Details'!$A$2:$J$250,6,FALSE)="Weekly",$A102+7,IF(VLOOKUP($B102,'Job Details'!$A$2:$J$250,6,FALSE)="Biweekly",$A102+14,IF(VLOOKUP($B102,'Job Details'!$A$2:$J$250,6,FALSE)="Monthly",$A102+30,""))),""))</f>
        <v/>
      </c>
    </row>
    <row r="103">
      <c r="A103" s="35" t="n"/>
      <c r="D103" s="36">
        <f>IF($C103="","",IFERROR(VLOOKUP($C103,'Services &amp; Rates'!$A$2:$B$30,2,FALSE),""))</f>
        <v/>
      </c>
      <c r="G103" s="37">
        <f>IF(OR($A103="",$B103=""),"",IFERROR(IF(VLOOKUP($B103,'Job Details'!$A$2:$J$250,6,FALSE)="Weekly",$A103+7,IF(VLOOKUP($B103,'Job Details'!$A$2:$J$250,6,FALSE)="Biweekly",$A103+14,IF(VLOOKUP($B103,'Job Details'!$A$2:$J$250,6,FALSE)="Monthly",$A103+30,""))),""))</f>
        <v/>
      </c>
    </row>
    <row r="104">
      <c r="A104" s="35" t="n"/>
      <c r="D104" s="36">
        <f>IF($C104="","",IFERROR(VLOOKUP($C104,'Services &amp; Rates'!$A$2:$B$30,2,FALSE),""))</f>
        <v/>
      </c>
      <c r="G104" s="37">
        <f>IF(OR($A104="",$B104=""),"",IFERROR(IF(VLOOKUP($B104,'Job Details'!$A$2:$J$250,6,FALSE)="Weekly",$A104+7,IF(VLOOKUP($B104,'Job Details'!$A$2:$J$250,6,FALSE)="Biweekly",$A104+14,IF(VLOOKUP($B104,'Job Details'!$A$2:$J$250,6,FALSE)="Monthly",$A104+30,""))),""))</f>
        <v/>
      </c>
    </row>
    <row r="105">
      <c r="A105" s="35" t="n"/>
      <c r="D105" s="36">
        <f>IF($C105="","",IFERROR(VLOOKUP($C105,'Services &amp; Rates'!$A$2:$B$30,2,FALSE),""))</f>
        <v/>
      </c>
      <c r="G105" s="37">
        <f>IF(OR($A105="",$B105=""),"",IFERROR(IF(VLOOKUP($B105,'Job Details'!$A$2:$J$250,6,FALSE)="Weekly",$A105+7,IF(VLOOKUP($B105,'Job Details'!$A$2:$J$250,6,FALSE)="Biweekly",$A105+14,IF(VLOOKUP($B105,'Job Details'!$A$2:$J$250,6,FALSE)="Monthly",$A105+30,""))),""))</f>
        <v/>
      </c>
    </row>
    <row r="106">
      <c r="A106" s="35" t="n"/>
      <c r="D106" s="36">
        <f>IF($C106="","",IFERROR(VLOOKUP($C106,'Services &amp; Rates'!$A$2:$B$30,2,FALSE),""))</f>
        <v/>
      </c>
      <c r="G106" s="37">
        <f>IF(OR($A106="",$B106=""),"",IFERROR(IF(VLOOKUP($B106,'Job Details'!$A$2:$J$250,6,FALSE)="Weekly",$A106+7,IF(VLOOKUP($B106,'Job Details'!$A$2:$J$250,6,FALSE)="Biweekly",$A106+14,IF(VLOOKUP($B106,'Job Details'!$A$2:$J$250,6,FALSE)="Monthly",$A106+30,""))),""))</f>
        <v/>
      </c>
    </row>
    <row r="107">
      <c r="A107" s="35" t="n"/>
      <c r="D107" s="36">
        <f>IF($C107="","",IFERROR(VLOOKUP($C107,'Services &amp; Rates'!$A$2:$B$30,2,FALSE),""))</f>
        <v/>
      </c>
      <c r="G107" s="37">
        <f>IF(OR($A107="",$B107=""),"",IFERROR(IF(VLOOKUP($B107,'Job Details'!$A$2:$J$250,6,FALSE)="Weekly",$A107+7,IF(VLOOKUP($B107,'Job Details'!$A$2:$J$250,6,FALSE)="Biweekly",$A107+14,IF(VLOOKUP($B107,'Job Details'!$A$2:$J$250,6,FALSE)="Monthly",$A107+30,""))),""))</f>
        <v/>
      </c>
    </row>
    <row r="108">
      <c r="A108" s="35" t="n"/>
      <c r="D108" s="36">
        <f>IF($C108="","",IFERROR(VLOOKUP($C108,'Services &amp; Rates'!$A$2:$B$30,2,FALSE),""))</f>
        <v/>
      </c>
      <c r="G108" s="37">
        <f>IF(OR($A108="",$B108=""),"",IFERROR(IF(VLOOKUP($B108,'Job Details'!$A$2:$J$250,6,FALSE)="Weekly",$A108+7,IF(VLOOKUP($B108,'Job Details'!$A$2:$J$250,6,FALSE)="Biweekly",$A108+14,IF(VLOOKUP($B108,'Job Details'!$A$2:$J$250,6,FALSE)="Monthly",$A108+30,""))),""))</f>
        <v/>
      </c>
    </row>
    <row r="109">
      <c r="A109" s="35" t="n"/>
      <c r="D109" s="36">
        <f>IF($C109="","",IFERROR(VLOOKUP($C109,'Services &amp; Rates'!$A$2:$B$30,2,FALSE),""))</f>
        <v/>
      </c>
      <c r="G109" s="37">
        <f>IF(OR($A109="",$B109=""),"",IFERROR(IF(VLOOKUP($B109,'Job Details'!$A$2:$J$250,6,FALSE)="Weekly",$A109+7,IF(VLOOKUP($B109,'Job Details'!$A$2:$J$250,6,FALSE)="Biweekly",$A109+14,IF(VLOOKUP($B109,'Job Details'!$A$2:$J$250,6,FALSE)="Monthly",$A109+30,""))),""))</f>
        <v/>
      </c>
    </row>
    <row r="110">
      <c r="A110" s="35" t="n"/>
      <c r="D110" s="36">
        <f>IF($C110="","",IFERROR(VLOOKUP($C110,'Services &amp; Rates'!$A$2:$B$30,2,FALSE),""))</f>
        <v/>
      </c>
      <c r="G110" s="37">
        <f>IF(OR($A110="",$B110=""),"",IFERROR(IF(VLOOKUP($B110,'Job Details'!$A$2:$J$250,6,FALSE)="Weekly",$A110+7,IF(VLOOKUP($B110,'Job Details'!$A$2:$J$250,6,FALSE)="Biweekly",$A110+14,IF(VLOOKUP($B110,'Job Details'!$A$2:$J$250,6,FALSE)="Monthly",$A110+30,""))),""))</f>
        <v/>
      </c>
    </row>
    <row r="111">
      <c r="A111" s="35" t="n"/>
      <c r="D111" s="36">
        <f>IF($C111="","",IFERROR(VLOOKUP($C111,'Services &amp; Rates'!$A$2:$B$30,2,FALSE),""))</f>
        <v/>
      </c>
      <c r="G111" s="37">
        <f>IF(OR($A111="",$B111=""),"",IFERROR(IF(VLOOKUP($B111,'Job Details'!$A$2:$J$250,6,FALSE)="Weekly",$A111+7,IF(VLOOKUP($B111,'Job Details'!$A$2:$J$250,6,FALSE)="Biweekly",$A111+14,IF(VLOOKUP($B111,'Job Details'!$A$2:$J$250,6,FALSE)="Monthly",$A111+30,""))),""))</f>
        <v/>
      </c>
    </row>
    <row r="112">
      <c r="A112" s="35" t="n"/>
      <c r="D112" s="36">
        <f>IF($C112="","",IFERROR(VLOOKUP($C112,'Services &amp; Rates'!$A$2:$B$30,2,FALSE),""))</f>
        <v/>
      </c>
      <c r="G112" s="37">
        <f>IF(OR($A112="",$B112=""),"",IFERROR(IF(VLOOKUP($B112,'Job Details'!$A$2:$J$250,6,FALSE)="Weekly",$A112+7,IF(VLOOKUP($B112,'Job Details'!$A$2:$J$250,6,FALSE)="Biweekly",$A112+14,IF(VLOOKUP($B112,'Job Details'!$A$2:$J$250,6,FALSE)="Monthly",$A112+30,""))),""))</f>
        <v/>
      </c>
    </row>
    <row r="113">
      <c r="A113" s="35" t="n"/>
      <c r="D113" s="36">
        <f>IF($C113="","",IFERROR(VLOOKUP($C113,'Services &amp; Rates'!$A$2:$B$30,2,FALSE),""))</f>
        <v/>
      </c>
      <c r="G113" s="37">
        <f>IF(OR($A113="",$B113=""),"",IFERROR(IF(VLOOKUP($B113,'Job Details'!$A$2:$J$250,6,FALSE)="Weekly",$A113+7,IF(VLOOKUP($B113,'Job Details'!$A$2:$J$250,6,FALSE)="Biweekly",$A113+14,IF(VLOOKUP($B113,'Job Details'!$A$2:$J$250,6,FALSE)="Monthly",$A113+30,""))),""))</f>
        <v/>
      </c>
    </row>
    <row r="114">
      <c r="A114" s="35" t="n"/>
      <c r="D114" s="36">
        <f>IF($C114="","",IFERROR(VLOOKUP($C114,'Services &amp; Rates'!$A$2:$B$30,2,FALSE),""))</f>
        <v/>
      </c>
      <c r="G114" s="37">
        <f>IF(OR($A114="",$B114=""),"",IFERROR(IF(VLOOKUP($B114,'Job Details'!$A$2:$J$250,6,FALSE)="Weekly",$A114+7,IF(VLOOKUP($B114,'Job Details'!$A$2:$J$250,6,FALSE)="Biweekly",$A114+14,IF(VLOOKUP($B114,'Job Details'!$A$2:$J$250,6,FALSE)="Monthly",$A114+30,""))),""))</f>
        <v/>
      </c>
    </row>
    <row r="115">
      <c r="A115" s="35" t="n"/>
      <c r="D115" s="36">
        <f>IF($C115="","",IFERROR(VLOOKUP($C115,'Services &amp; Rates'!$A$2:$B$30,2,FALSE),""))</f>
        <v/>
      </c>
      <c r="G115" s="37">
        <f>IF(OR($A115="",$B115=""),"",IFERROR(IF(VLOOKUP($B115,'Job Details'!$A$2:$J$250,6,FALSE)="Weekly",$A115+7,IF(VLOOKUP($B115,'Job Details'!$A$2:$J$250,6,FALSE)="Biweekly",$A115+14,IF(VLOOKUP($B115,'Job Details'!$A$2:$J$250,6,FALSE)="Monthly",$A115+30,""))),""))</f>
        <v/>
      </c>
    </row>
    <row r="116">
      <c r="A116" s="35" t="n"/>
      <c r="D116" s="36">
        <f>IF($C116="","",IFERROR(VLOOKUP($C116,'Services &amp; Rates'!$A$2:$B$30,2,FALSE),""))</f>
        <v/>
      </c>
      <c r="G116" s="37">
        <f>IF(OR($A116="",$B116=""),"",IFERROR(IF(VLOOKUP($B116,'Job Details'!$A$2:$J$250,6,FALSE)="Weekly",$A116+7,IF(VLOOKUP($B116,'Job Details'!$A$2:$J$250,6,FALSE)="Biweekly",$A116+14,IF(VLOOKUP($B116,'Job Details'!$A$2:$J$250,6,FALSE)="Monthly",$A116+30,""))),""))</f>
        <v/>
      </c>
    </row>
    <row r="117">
      <c r="A117" s="35" t="n"/>
      <c r="D117" s="36">
        <f>IF($C117="","",IFERROR(VLOOKUP($C117,'Services &amp; Rates'!$A$2:$B$30,2,FALSE),""))</f>
        <v/>
      </c>
      <c r="G117" s="37">
        <f>IF(OR($A117="",$B117=""),"",IFERROR(IF(VLOOKUP($B117,'Job Details'!$A$2:$J$250,6,FALSE)="Weekly",$A117+7,IF(VLOOKUP($B117,'Job Details'!$A$2:$J$250,6,FALSE)="Biweekly",$A117+14,IF(VLOOKUP($B117,'Job Details'!$A$2:$J$250,6,FALSE)="Monthly",$A117+30,""))),""))</f>
        <v/>
      </c>
    </row>
    <row r="118">
      <c r="A118" s="35" t="n"/>
      <c r="D118" s="36">
        <f>IF($C118="","",IFERROR(VLOOKUP($C118,'Services &amp; Rates'!$A$2:$B$30,2,FALSE),""))</f>
        <v/>
      </c>
      <c r="G118" s="37">
        <f>IF(OR($A118="",$B118=""),"",IFERROR(IF(VLOOKUP($B118,'Job Details'!$A$2:$J$250,6,FALSE)="Weekly",$A118+7,IF(VLOOKUP($B118,'Job Details'!$A$2:$J$250,6,FALSE)="Biweekly",$A118+14,IF(VLOOKUP($B118,'Job Details'!$A$2:$J$250,6,FALSE)="Monthly",$A118+30,""))),""))</f>
        <v/>
      </c>
    </row>
    <row r="119">
      <c r="A119" s="35" t="n"/>
      <c r="D119" s="36">
        <f>IF($C119="","",IFERROR(VLOOKUP($C119,'Services &amp; Rates'!$A$2:$B$30,2,FALSE),""))</f>
        <v/>
      </c>
      <c r="G119" s="37">
        <f>IF(OR($A119="",$B119=""),"",IFERROR(IF(VLOOKUP($B119,'Job Details'!$A$2:$J$250,6,FALSE)="Weekly",$A119+7,IF(VLOOKUP($B119,'Job Details'!$A$2:$J$250,6,FALSE)="Biweekly",$A119+14,IF(VLOOKUP($B119,'Job Details'!$A$2:$J$250,6,FALSE)="Monthly",$A119+30,""))),""))</f>
        <v/>
      </c>
    </row>
    <row r="120">
      <c r="A120" s="35" t="n"/>
      <c r="D120" s="36">
        <f>IF($C120="","",IFERROR(VLOOKUP($C120,'Services &amp; Rates'!$A$2:$B$30,2,FALSE),""))</f>
        <v/>
      </c>
      <c r="G120" s="37">
        <f>IF(OR($A120="",$B120=""),"",IFERROR(IF(VLOOKUP($B120,'Job Details'!$A$2:$J$250,6,FALSE)="Weekly",$A120+7,IF(VLOOKUP($B120,'Job Details'!$A$2:$J$250,6,FALSE)="Biweekly",$A120+14,IF(VLOOKUP($B120,'Job Details'!$A$2:$J$250,6,FALSE)="Monthly",$A120+30,""))),""))</f>
        <v/>
      </c>
    </row>
    <row r="121">
      <c r="A121" s="35" t="n"/>
      <c r="D121" s="36">
        <f>IF($C121="","",IFERROR(VLOOKUP($C121,'Services &amp; Rates'!$A$2:$B$30,2,FALSE),""))</f>
        <v/>
      </c>
      <c r="G121" s="37">
        <f>IF(OR($A121="",$B121=""),"",IFERROR(IF(VLOOKUP($B121,'Job Details'!$A$2:$J$250,6,FALSE)="Weekly",$A121+7,IF(VLOOKUP($B121,'Job Details'!$A$2:$J$250,6,FALSE)="Biweekly",$A121+14,IF(VLOOKUP($B121,'Job Details'!$A$2:$J$250,6,FALSE)="Monthly",$A121+30,""))),""))</f>
        <v/>
      </c>
    </row>
    <row r="122">
      <c r="A122" s="35" t="n"/>
      <c r="D122" s="36">
        <f>IF($C122="","",IFERROR(VLOOKUP($C122,'Services &amp; Rates'!$A$2:$B$30,2,FALSE),""))</f>
        <v/>
      </c>
      <c r="G122" s="37">
        <f>IF(OR($A122="",$B122=""),"",IFERROR(IF(VLOOKUP($B122,'Job Details'!$A$2:$J$250,6,FALSE)="Weekly",$A122+7,IF(VLOOKUP($B122,'Job Details'!$A$2:$J$250,6,FALSE)="Biweekly",$A122+14,IF(VLOOKUP($B122,'Job Details'!$A$2:$J$250,6,FALSE)="Monthly",$A122+30,""))),""))</f>
        <v/>
      </c>
    </row>
    <row r="123">
      <c r="A123" s="35" t="n"/>
      <c r="D123" s="36">
        <f>IF($C123="","",IFERROR(VLOOKUP($C123,'Services &amp; Rates'!$A$2:$B$30,2,FALSE),""))</f>
        <v/>
      </c>
      <c r="G123" s="37">
        <f>IF(OR($A123="",$B123=""),"",IFERROR(IF(VLOOKUP($B123,'Job Details'!$A$2:$J$250,6,FALSE)="Weekly",$A123+7,IF(VLOOKUP($B123,'Job Details'!$A$2:$J$250,6,FALSE)="Biweekly",$A123+14,IF(VLOOKUP($B123,'Job Details'!$A$2:$J$250,6,FALSE)="Monthly",$A123+30,""))),""))</f>
        <v/>
      </c>
    </row>
    <row r="124">
      <c r="A124" s="35" t="n"/>
      <c r="D124" s="36">
        <f>IF($C124="","",IFERROR(VLOOKUP($C124,'Services &amp; Rates'!$A$2:$B$30,2,FALSE),""))</f>
        <v/>
      </c>
      <c r="G124" s="37">
        <f>IF(OR($A124="",$B124=""),"",IFERROR(IF(VLOOKUP($B124,'Job Details'!$A$2:$J$250,6,FALSE)="Weekly",$A124+7,IF(VLOOKUP($B124,'Job Details'!$A$2:$J$250,6,FALSE)="Biweekly",$A124+14,IF(VLOOKUP($B124,'Job Details'!$A$2:$J$250,6,FALSE)="Monthly",$A124+30,""))),""))</f>
        <v/>
      </c>
    </row>
    <row r="125">
      <c r="A125" s="35" t="n"/>
      <c r="D125" s="36">
        <f>IF($C125="","",IFERROR(VLOOKUP($C125,'Services &amp; Rates'!$A$2:$B$30,2,FALSE),""))</f>
        <v/>
      </c>
      <c r="G125" s="37">
        <f>IF(OR($A125="",$B125=""),"",IFERROR(IF(VLOOKUP($B125,'Job Details'!$A$2:$J$250,6,FALSE)="Weekly",$A125+7,IF(VLOOKUP($B125,'Job Details'!$A$2:$J$250,6,FALSE)="Biweekly",$A125+14,IF(VLOOKUP($B125,'Job Details'!$A$2:$J$250,6,FALSE)="Monthly",$A125+30,""))),""))</f>
        <v/>
      </c>
    </row>
    <row r="126">
      <c r="A126" s="35" t="n"/>
      <c r="D126" s="36">
        <f>IF($C126="","",IFERROR(VLOOKUP($C126,'Services &amp; Rates'!$A$2:$B$30,2,FALSE),""))</f>
        <v/>
      </c>
      <c r="G126" s="37">
        <f>IF(OR($A126="",$B126=""),"",IFERROR(IF(VLOOKUP($B126,'Job Details'!$A$2:$J$250,6,FALSE)="Weekly",$A126+7,IF(VLOOKUP($B126,'Job Details'!$A$2:$J$250,6,FALSE)="Biweekly",$A126+14,IF(VLOOKUP($B126,'Job Details'!$A$2:$J$250,6,FALSE)="Monthly",$A126+30,""))),""))</f>
        <v/>
      </c>
    </row>
    <row r="127">
      <c r="A127" s="35" t="n"/>
      <c r="D127" s="36">
        <f>IF($C127="","",IFERROR(VLOOKUP($C127,'Services &amp; Rates'!$A$2:$B$30,2,FALSE),""))</f>
        <v/>
      </c>
      <c r="G127" s="37">
        <f>IF(OR($A127="",$B127=""),"",IFERROR(IF(VLOOKUP($B127,'Job Details'!$A$2:$J$250,6,FALSE)="Weekly",$A127+7,IF(VLOOKUP($B127,'Job Details'!$A$2:$J$250,6,FALSE)="Biweekly",$A127+14,IF(VLOOKUP($B127,'Job Details'!$A$2:$J$250,6,FALSE)="Monthly",$A127+30,""))),""))</f>
        <v/>
      </c>
    </row>
    <row r="128">
      <c r="A128" s="35" t="n"/>
      <c r="D128" s="36">
        <f>IF($C128="","",IFERROR(VLOOKUP($C128,'Services &amp; Rates'!$A$2:$B$30,2,FALSE),""))</f>
        <v/>
      </c>
      <c r="G128" s="37">
        <f>IF(OR($A128="",$B128=""),"",IFERROR(IF(VLOOKUP($B128,'Job Details'!$A$2:$J$250,6,FALSE)="Weekly",$A128+7,IF(VLOOKUP($B128,'Job Details'!$A$2:$J$250,6,FALSE)="Biweekly",$A128+14,IF(VLOOKUP($B128,'Job Details'!$A$2:$J$250,6,FALSE)="Monthly",$A128+30,""))),""))</f>
        <v/>
      </c>
    </row>
    <row r="129">
      <c r="A129" s="35" t="n"/>
      <c r="D129" s="36">
        <f>IF($C129="","",IFERROR(VLOOKUP($C129,'Services &amp; Rates'!$A$2:$B$30,2,FALSE),""))</f>
        <v/>
      </c>
      <c r="G129" s="37">
        <f>IF(OR($A129="",$B129=""),"",IFERROR(IF(VLOOKUP($B129,'Job Details'!$A$2:$J$250,6,FALSE)="Weekly",$A129+7,IF(VLOOKUP($B129,'Job Details'!$A$2:$J$250,6,FALSE)="Biweekly",$A129+14,IF(VLOOKUP($B129,'Job Details'!$A$2:$J$250,6,FALSE)="Monthly",$A129+30,""))),""))</f>
        <v/>
      </c>
    </row>
    <row r="130">
      <c r="A130" s="35" t="n"/>
      <c r="D130" s="36">
        <f>IF($C130="","",IFERROR(VLOOKUP($C130,'Services &amp; Rates'!$A$2:$B$30,2,FALSE),""))</f>
        <v/>
      </c>
      <c r="G130" s="37">
        <f>IF(OR($A130="",$B130=""),"",IFERROR(IF(VLOOKUP($B130,'Job Details'!$A$2:$J$250,6,FALSE)="Weekly",$A130+7,IF(VLOOKUP($B130,'Job Details'!$A$2:$J$250,6,FALSE)="Biweekly",$A130+14,IF(VLOOKUP($B130,'Job Details'!$A$2:$J$250,6,FALSE)="Monthly",$A130+30,""))),""))</f>
        <v/>
      </c>
    </row>
    <row r="131">
      <c r="A131" s="35" t="n"/>
      <c r="D131" s="36">
        <f>IF($C131="","",IFERROR(VLOOKUP($C131,'Services &amp; Rates'!$A$2:$B$30,2,FALSE),""))</f>
        <v/>
      </c>
      <c r="G131" s="37">
        <f>IF(OR($A131="",$B131=""),"",IFERROR(IF(VLOOKUP($B131,'Job Details'!$A$2:$J$250,6,FALSE)="Weekly",$A131+7,IF(VLOOKUP($B131,'Job Details'!$A$2:$J$250,6,FALSE)="Biweekly",$A131+14,IF(VLOOKUP($B131,'Job Details'!$A$2:$J$250,6,FALSE)="Monthly",$A131+30,""))),""))</f>
        <v/>
      </c>
    </row>
    <row r="132">
      <c r="A132" s="35" t="n"/>
      <c r="D132" s="36">
        <f>IF($C132="","",IFERROR(VLOOKUP($C132,'Services &amp; Rates'!$A$2:$B$30,2,FALSE),""))</f>
        <v/>
      </c>
      <c r="G132" s="37">
        <f>IF(OR($A132="",$B132=""),"",IFERROR(IF(VLOOKUP($B132,'Job Details'!$A$2:$J$250,6,FALSE)="Weekly",$A132+7,IF(VLOOKUP($B132,'Job Details'!$A$2:$J$250,6,FALSE)="Biweekly",$A132+14,IF(VLOOKUP($B132,'Job Details'!$A$2:$J$250,6,FALSE)="Monthly",$A132+30,""))),""))</f>
        <v/>
      </c>
    </row>
    <row r="133">
      <c r="A133" s="35" t="n"/>
      <c r="D133" s="36">
        <f>IF($C133="","",IFERROR(VLOOKUP($C133,'Services &amp; Rates'!$A$2:$B$30,2,FALSE),""))</f>
        <v/>
      </c>
      <c r="G133" s="37">
        <f>IF(OR($A133="",$B133=""),"",IFERROR(IF(VLOOKUP($B133,'Job Details'!$A$2:$J$250,6,FALSE)="Weekly",$A133+7,IF(VLOOKUP($B133,'Job Details'!$A$2:$J$250,6,FALSE)="Biweekly",$A133+14,IF(VLOOKUP($B133,'Job Details'!$A$2:$J$250,6,FALSE)="Monthly",$A133+30,""))),""))</f>
        <v/>
      </c>
    </row>
    <row r="134">
      <c r="A134" s="35" t="n"/>
      <c r="D134" s="36">
        <f>IF($C134="","",IFERROR(VLOOKUP($C134,'Services &amp; Rates'!$A$2:$B$30,2,FALSE),""))</f>
        <v/>
      </c>
      <c r="G134" s="37">
        <f>IF(OR($A134="",$B134=""),"",IFERROR(IF(VLOOKUP($B134,'Job Details'!$A$2:$J$250,6,FALSE)="Weekly",$A134+7,IF(VLOOKUP($B134,'Job Details'!$A$2:$J$250,6,FALSE)="Biweekly",$A134+14,IF(VLOOKUP($B134,'Job Details'!$A$2:$J$250,6,FALSE)="Monthly",$A134+30,""))),""))</f>
        <v/>
      </c>
    </row>
    <row r="135">
      <c r="A135" s="35" t="n"/>
      <c r="D135" s="36">
        <f>IF($C135="","",IFERROR(VLOOKUP($C135,'Services &amp; Rates'!$A$2:$B$30,2,FALSE),""))</f>
        <v/>
      </c>
      <c r="G135" s="37">
        <f>IF(OR($A135="",$B135=""),"",IFERROR(IF(VLOOKUP($B135,'Job Details'!$A$2:$J$250,6,FALSE)="Weekly",$A135+7,IF(VLOOKUP($B135,'Job Details'!$A$2:$J$250,6,FALSE)="Biweekly",$A135+14,IF(VLOOKUP($B135,'Job Details'!$A$2:$J$250,6,FALSE)="Monthly",$A135+30,""))),""))</f>
        <v/>
      </c>
    </row>
    <row r="136">
      <c r="A136" s="35" t="n"/>
      <c r="D136" s="36">
        <f>IF($C136="","",IFERROR(VLOOKUP($C136,'Services &amp; Rates'!$A$2:$B$30,2,FALSE),""))</f>
        <v/>
      </c>
      <c r="G136" s="37">
        <f>IF(OR($A136="",$B136=""),"",IFERROR(IF(VLOOKUP($B136,'Job Details'!$A$2:$J$250,6,FALSE)="Weekly",$A136+7,IF(VLOOKUP($B136,'Job Details'!$A$2:$J$250,6,FALSE)="Biweekly",$A136+14,IF(VLOOKUP($B136,'Job Details'!$A$2:$J$250,6,FALSE)="Monthly",$A136+30,""))),""))</f>
        <v/>
      </c>
    </row>
    <row r="137">
      <c r="A137" s="35" t="n"/>
      <c r="D137" s="36">
        <f>IF($C137="","",IFERROR(VLOOKUP($C137,'Services &amp; Rates'!$A$2:$B$30,2,FALSE),""))</f>
        <v/>
      </c>
      <c r="G137" s="37">
        <f>IF(OR($A137="",$B137=""),"",IFERROR(IF(VLOOKUP($B137,'Job Details'!$A$2:$J$250,6,FALSE)="Weekly",$A137+7,IF(VLOOKUP($B137,'Job Details'!$A$2:$J$250,6,FALSE)="Biweekly",$A137+14,IF(VLOOKUP($B137,'Job Details'!$A$2:$J$250,6,FALSE)="Monthly",$A137+30,""))),""))</f>
        <v/>
      </c>
    </row>
    <row r="138">
      <c r="A138" s="35" t="n"/>
      <c r="D138" s="36">
        <f>IF($C138="","",IFERROR(VLOOKUP($C138,'Services &amp; Rates'!$A$2:$B$30,2,FALSE),""))</f>
        <v/>
      </c>
      <c r="G138" s="37">
        <f>IF(OR($A138="",$B138=""),"",IFERROR(IF(VLOOKUP($B138,'Job Details'!$A$2:$J$250,6,FALSE)="Weekly",$A138+7,IF(VLOOKUP($B138,'Job Details'!$A$2:$J$250,6,FALSE)="Biweekly",$A138+14,IF(VLOOKUP($B138,'Job Details'!$A$2:$J$250,6,FALSE)="Monthly",$A138+30,""))),""))</f>
        <v/>
      </c>
    </row>
    <row r="139">
      <c r="A139" s="35" t="n"/>
      <c r="D139" s="36">
        <f>IF($C139="","",IFERROR(VLOOKUP($C139,'Services &amp; Rates'!$A$2:$B$30,2,FALSE),""))</f>
        <v/>
      </c>
      <c r="G139" s="37">
        <f>IF(OR($A139="",$B139=""),"",IFERROR(IF(VLOOKUP($B139,'Job Details'!$A$2:$J$250,6,FALSE)="Weekly",$A139+7,IF(VLOOKUP($B139,'Job Details'!$A$2:$J$250,6,FALSE)="Biweekly",$A139+14,IF(VLOOKUP($B139,'Job Details'!$A$2:$J$250,6,FALSE)="Monthly",$A139+30,""))),""))</f>
        <v/>
      </c>
    </row>
    <row r="140">
      <c r="A140" s="35" t="n"/>
      <c r="D140" s="36">
        <f>IF($C140="","",IFERROR(VLOOKUP($C140,'Services &amp; Rates'!$A$2:$B$30,2,FALSE),""))</f>
        <v/>
      </c>
      <c r="G140" s="37">
        <f>IF(OR($A140="",$B140=""),"",IFERROR(IF(VLOOKUP($B140,'Job Details'!$A$2:$J$250,6,FALSE)="Weekly",$A140+7,IF(VLOOKUP($B140,'Job Details'!$A$2:$J$250,6,FALSE)="Biweekly",$A140+14,IF(VLOOKUP($B140,'Job Details'!$A$2:$J$250,6,FALSE)="Monthly",$A140+30,""))),""))</f>
        <v/>
      </c>
    </row>
    <row r="141">
      <c r="A141" s="35" t="n"/>
      <c r="D141" s="36">
        <f>IF($C141="","",IFERROR(VLOOKUP($C141,'Services &amp; Rates'!$A$2:$B$30,2,FALSE),""))</f>
        <v/>
      </c>
      <c r="G141" s="37">
        <f>IF(OR($A141="",$B141=""),"",IFERROR(IF(VLOOKUP($B141,'Job Details'!$A$2:$J$250,6,FALSE)="Weekly",$A141+7,IF(VLOOKUP($B141,'Job Details'!$A$2:$J$250,6,FALSE)="Biweekly",$A141+14,IF(VLOOKUP($B141,'Job Details'!$A$2:$J$250,6,FALSE)="Monthly",$A141+30,""))),""))</f>
        <v/>
      </c>
    </row>
    <row r="142">
      <c r="A142" s="35" t="n"/>
      <c r="D142" s="36">
        <f>IF($C142="","",IFERROR(VLOOKUP($C142,'Services &amp; Rates'!$A$2:$B$30,2,FALSE),""))</f>
        <v/>
      </c>
      <c r="G142" s="37">
        <f>IF(OR($A142="",$B142=""),"",IFERROR(IF(VLOOKUP($B142,'Job Details'!$A$2:$J$250,6,FALSE)="Weekly",$A142+7,IF(VLOOKUP($B142,'Job Details'!$A$2:$J$250,6,FALSE)="Biweekly",$A142+14,IF(VLOOKUP($B142,'Job Details'!$A$2:$J$250,6,FALSE)="Monthly",$A142+30,""))),""))</f>
        <v/>
      </c>
    </row>
    <row r="143">
      <c r="A143" s="35" t="n"/>
      <c r="D143" s="36">
        <f>IF($C143="","",IFERROR(VLOOKUP($C143,'Services &amp; Rates'!$A$2:$B$30,2,FALSE),""))</f>
        <v/>
      </c>
      <c r="G143" s="37">
        <f>IF(OR($A143="",$B143=""),"",IFERROR(IF(VLOOKUP($B143,'Job Details'!$A$2:$J$250,6,FALSE)="Weekly",$A143+7,IF(VLOOKUP($B143,'Job Details'!$A$2:$J$250,6,FALSE)="Biweekly",$A143+14,IF(VLOOKUP($B143,'Job Details'!$A$2:$J$250,6,FALSE)="Monthly",$A143+30,""))),""))</f>
        <v/>
      </c>
    </row>
    <row r="144">
      <c r="A144" s="35" t="n"/>
      <c r="D144" s="36">
        <f>IF($C144="","",IFERROR(VLOOKUP($C144,'Services &amp; Rates'!$A$2:$B$30,2,FALSE),""))</f>
        <v/>
      </c>
      <c r="G144" s="37">
        <f>IF(OR($A144="",$B144=""),"",IFERROR(IF(VLOOKUP($B144,'Job Details'!$A$2:$J$250,6,FALSE)="Weekly",$A144+7,IF(VLOOKUP($B144,'Job Details'!$A$2:$J$250,6,FALSE)="Biweekly",$A144+14,IF(VLOOKUP($B144,'Job Details'!$A$2:$J$250,6,FALSE)="Monthly",$A144+30,""))),""))</f>
        <v/>
      </c>
    </row>
    <row r="145">
      <c r="A145" s="35" t="n"/>
      <c r="D145" s="36">
        <f>IF($C145="","",IFERROR(VLOOKUP($C145,'Services &amp; Rates'!$A$2:$B$30,2,FALSE),""))</f>
        <v/>
      </c>
      <c r="G145" s="37">
        <f>IF(OR($A145="",$B145=""),"",IFERROR(IF(VLOOKUP($B145,'Job Details'!$A$2:$J$250,6,FALSE)="Weekly",$A145+7,IF(VLOOKUP($B145,'Job Details'!$A$2:$J$250,6,FALSE)="Biweekly",$A145+14,IF(VLOOKUP($B145,'Job Details'!$A$2:$J$250,6,FALSE)="Monthly",$A145+30,""))),""))</f>
        <v/>
      </c>
    </row>
    <row r="146">
      <c r="A146" s="35" t="n"/>
      <c r="D146" s="36">
        <f>IF($C146="","",IFERROR(VLOOKUP($C146,'Services &amp; Rates'!$A$2:$B$30,2,FALSE),""))</f>
        <v/>
      </c>
      <c r="G146" s="37">
        <f>IF(OR($A146="",$B146=""),"",IFERROR(IF(VLOOKUP($B146,'Job Details'!$A$2:$J$250,6,FALSE)="Weekly",$A146+7,IF(VLOOKUP($B146,'Job Details'!$A$2:$J$250,6,FALSE)="Biweekly",$A146+14,IF(VLOOKUP($B146,'Job Details'!$A$2:$J$250,6,FALSE)="Monthly",$A146+30,""))),""))</f>
        <v/>
      </c>
    </row>
    <row r="147">
      <c r="A147" s="35" t="n"/>
      <c r="D147" s="36">
        <f>IF($C147="","",IFERROR(VLOOKUP($C147,'Services &amp; Rates'!$A$2:$B$30,2,FALSE),""))</f>
        <v/>
      </c>
      <c r="G147" s="37">
        <f>IF(OR($A147="",$B147=""),"",IFERROR(IF(VLOOKUP($B147,'Job Details'!$A$2:$J$250,6,FALSE)="Weekly",$A147+7,IF(VLOOKUP($B147,'Job Details'!$A$2:$J$250,6,FALSE)="Biweekly",$A147+14,IF(VLOOKUP($B147,'Job Details'!$A$2:$J$250,6,FALSE)="Monthly",$A147+30,""))),""))</f>
        <v/>
      </c>
    </row>
    <row r="148">
      <c r="A148" s="35" t="n"/>
      <c r="D148" s="36">
        <f>IF($C148="","",IFERROR(VLOOKUP($C148,'Services &amp; Rates'!$A$2:$B$30,2,FALSE),""))</f>
        <v/>
      </c>
      <c r="G148" s="37">
        <f>IF(OR($A148="",$B148=""),"",IFERROR(IF(VLOOKUP($B148,'Job Details'!$A$2:$J$250,6,FALSE)="Weekly",$A148+7,IF(VLOOKUP($B148,'Job Details'!$A$2:$J$250,6,FALSE)="Biweekly",$A148+14,IF(VLOOKUP($B148,'Job Details'!$A$2:$J$250,6,FALSE)="Monthly",$A148+30,""))),""))</f>
        <v/>
      </c>
    </row>
    <row r="149">
      <c r="A149" s="35" t="n"/>
      <c r="D149" s="36">
        <f>IF($C149="","",IFERROR(VLOOKUP($C149,'Services &amp; Rates'!$A$2:$B$30,2,FALSE),""))</f>
        <v/>
      </c>
      <c r="G149" s="37">
        <f>IF(OR($A149="",$B149=""),"",IFERROR(IF(VLOOKUP($B149,'Job Details'!$A$2:$J$250,6,FALSE)="Weekly",$A149+7,IF(VLOOKUP($B149,'Job Details'!$A$2:$J$250,6,FALSE)="Biweekly",$A149+14,IF(VLOOKUP($B149,'Job Details'!$A$2:$J$250,6,FALSE)="Monthly",$A149+30,""))),""))</f>
        <v/>
      </c>
    </row>
    <row r="150">
      <c r="A150" s="35" t="n"/>
      <c r="D150" s="36">
        <f>IF($C150="","",IFERROR(VLOOKUP($C150,'Services &amp; Rates'!$A$2:$B$30,2,FALSE),""))</f>
        <v/>
      </c>
      <c r="G150" s="37">
        <f>IF(OR($A150="",$B150=""),"",IFERROR(IF(VLOOKUP($B150,'Job Details'!$A$2:$J$250,6,FALSE)="Weekly",$A150+7,IF(VLOOKUP($B150,'Job Details'!$A$2:$J$250,6,FALSE)="Biweekly",$A150+14,IF(VLOOKUP($B150,'Job Details'!$A$2:$J$250,6,FALSE)="Monthly",$A150+30,""))),""))</f>
        <v/>
      </c>
    </row>
    <row r="151">
      <c r="A151" s="35" t="n"/>
      <c r="D151" s="36">
        <f>IF($C151="","",IFERROR(VLOOKUP($C151,'Services &amp; Rates'!$A$2:$B$30,2,FALSE),""))</f>
        <v/>
      </c>
      <c r="G151" s="37">
        <f>IF(OR($A151="",$B151=""),"",IFERROR(IF(VLOOKUP($B151,'Job Details'!$A$2:$J$250,6,FALSE)="Weekly",$A151+7,IF(VLOOKUP($B151,'Job Details'!$A$2:$J$250,6,FALSE)="Biweekly",$A151+14,IF(VLOOKUP($B151,'Job Details'!$A$2:$J$250,6,FALSE)="Monthly",$A151+30,""))),""))</f>
        <v/>
      </c>
    </row>
    <row r="152">
      <c r="A152" s="35" t="n"/>
      <c r="D152" s="36">
        <f>IF($C152="","",IFERROR(VLOOKUP($C152,'Services &amp; Rates'!$A$2:$B$30,2,FALSE),""))</f>
        <v/>
      </c>
      <c r="G152" s="37">
        <f>IF(OR($A152="",$B152=""),"",IFERROR(IF(VLOOKUP($B152,'Job Details'!$A$2:$J$250,6,FALSE)="Weekly",$A152+7,IF(VLOOKUP($B152,'Job Details'!$A$2:$J$250,6,FALSE)="Biweekly",$A152+14,IF(VLOOKUP($B152,'Job Details'!$A$2:$J$250,6,FALSE)="Monthly",$A152+30,""))),""))</f>
        <v/>
      </c>
    </row>
    <row r="153">
      <c r="A153" s="35" t="n"/>
      <c r="D153" s="36">
        <f>IF($C153="","",IFERROR(VLOOKUP($C153,'Services &amp; Rates'!$A$2:$B$30,2,FALSE),""))</f>
        <v/>
      </c>
      <c r="G153" s="37">
        <f>IF(OR($A153="",$B153=""),"",IFERROR(IF(VLOOKUP($B153,'Job Details'!$A$2:$J$250,6,FALSE)="Weekly",$A153+7,IF(VLOOKUP($B153,'Job Details'!$A$2:$J$250,6,FALSE)="Biweekly",$A153+14,IF(VLOOKUP($B153,'Job Details'!$A$2:$J$250,6,FALSE)="Monthly",$A153+30,""))),""))</f>
        <v/>
      </c>
    </row>
    <row r="154">
      <c r="A154" s="35" t="n"/>
      <c r="D154" s="36">
        <f>IF($C154="","",IFERROR(VLOOKUP($C154,'Services &amp; Rates'!$A$2:$B$30,2,FALSE),""))</f>
        <v/>
      </c>
      <c r="G154" s="37">
        <f>IF(OR($A154="",$B154=""),"",IFERROR(IF(VLOOKUP($B154,'Job Details'!$A$2:$J$250,6,FALSE)="Weekly",$A154+7,IF(VLOOKUP($B154,'Job Details'!$A$2:$J$250,6,FALSE)="Biweekly",$A154+14,IF(VLOOKUP($B154,'Job Details'!$A$2:$J$250,6,FALSE)="Monthly",$A154+30,""))),""))</f>
        <v/>
      </c>
    </row>
    <row r="155">
      <c r="A155" s="35" t="n"/>
      <c r="D155" s="36">
        <f>IF($C155="","",IFERROR(VLOOKUP($C155,'Services &amp; Rates'!$A$2:$B$30,2,FALSE),""))</f>
        <v/>
      </c>
      <c r="G155" s="37">
        <f>IF(OR($A155="",$B155=""),"",IFERROR(IF(VLOOKUP($B155,'Job Details'!$A$2:$J$250,6,FALSE)="Weekly",$A155+7,IF(VLOOKUP($B155,'Job Details'!$A$2:$J$250,6,FALSE)="Biweekly",$A155+14,IF(VLOOKUP($B155,'Job Details'!$A$2:$J$250,6,FALSE)="Monthly",$A155+30,""))),""))</f>
        <v/>
      </c>
    </row>
    <row r="156">
      <c r="A156" s="35" t="n"/>
      <c r="D156" s="36">
        <f>IF($C156="","",IFERROR(VLOOKUP($C156,'Services &amp; Rates'!$A$2:$B$30,2,FALSE),""))</f>
        <v/>
      </c>
      <c r="G156" s="37">
        <f>IF(OR($A156="",$B156=""),"",IFERROR(IF(VLOOKUP($B156,'Job Details'!$A$2:$J$250,6,FALSE)="Weekly",$A156+7,IF(VLOOKUP($B156,'Job Details'!$A$2:$J$250,6,FALSE)="Biweekly",$A156+14,IF(VLOOKUP($B156,'Job Details'!$A$2:$J$250,6,FALSE)="Monthly",$A156+30,""))),""))</f>
        <v/>
      </c>
    </row>
    <row r="157">
      <c r="A157" s="35" t="n"/>
      <c r="D157" s="36">
        <f>IF($C157="","",IFERROR(VLOOKUP($C157,'Services &amp; Rates'!$A$2:$B$30,2,FALSE),""))</f>
        <v/>
      </c>
      <c r="G157" s="37">
        <f>IF(OR($A157="",$B157=""),"",IFERROR(IF(VLOOKUP($B157,'Job Details'!$A$2:$J$250,6,FALSE)="Weekly",$A157+7,IF(VLOOKUP($B157,'Job Details'!$A$2:$J$250,6,FALSE)="Biweekly",$A157+14,IF(VLOOKUP($B157,'Job Details'!$A$2:$J$250,6,FALSE)="Monthly",$A157+30,""))),""))</f>
        <v/>
      </c>
    </row>
    <row r="158">
      <c r="A158" s="35" t="n"/>
      <c r="D158" s="36">
        <f>IF($C158="","",IFERROR(VLOOKUP($C158,'Services &amp; Rates'!$A$2:$B$30,2,FALSE),""))</f>
        <v/>
      </c>
      <c r="G158" s="37">
        <f>IF(OR($A158="",$B158=""),"",IFERROR(IF(VLOOKUP($B158,'Job Details'!$A$2:$J$250,6,FALSE)="Weekly",$A158+7,IF(VLOOKUP($B158,'Job Details'!$A$2:$J$250,6,FALSE)="Biweekly",$A158+14,IF(VLOOKUP($B158,'Job Details'!$A$2:$J$250,6,FALSE)="Monthly",$A158+30,""))),""))</f>
        <v/>
      </c>
    </row>
    <row r="159">
      <c r="A159" s="35" t="n"/>
      <c r="D159" s="36">
        <f>IF($C159="","",IFERROR(VLOOKUP($C159,'Services &amp; Rates'!$A$2:$B$30,2,FALSE),""))</f>
        <v/>
      </c>
      <c r="G159" s="37">
        <f>IF(OR($A159="",$B159=""),"",IFERROR(IF(VLOOKUP($B159,'Job Details'!$A$2:$J$250,6,FALSE)="Weekly",$A159+7,IF(VLOOKUP($B159,'Job Details'!$A$2:$J$250,6,FALSE)="Biweekly",$A159+14,IF(VLOOKUP($B159,'Job Details'!$A$2:$J$250,6,FALSE)="Monthly",$A159+30,""))),""))</f>
        <v/>
      </c>
    </row>
    <row r="160">
      <c r="A160" s="35" t="n"/>
      <c r="D160" s="36">
        <f>IF($C160="","",IFERROR(VLOOKUP($C160,'Services &amp; Rates'!$A$2:$B$30,2,FALSE),""))</f>
        <v/>
      </c>
      <c r="G160" s="37">
        <f>IF(OR($A160="",$B160=""),"",IFERROR(IF(VLOOKUP($B160,'Job Details'!$A$2:$J$250,6,FALSE)="Weekly",$A160+7,IF(VLOOKUP($B160,'Job Details'!$A$2:$J$250,6,FALSE)="Biweekly",$A160+14,IF(VLOOKUP($B160,'Job Details'!$A$2:$J$250,6,FALSE)="Monthly",$A160+30,""))),""))</f>
        <v/>
      </c>
    </row>
    <row r="161">
      <c r="A161" s="35" t="n"/>
      <c r="D161" s="36">
        <f>IF($C161="","",IFERROR(VLOOKUP($C161,'Services &amp; Rates'!$A$2:$B$30,2,FALSE),""))</f>
        <v/>
      </c>
      <c r="G161" s="37">
        <f>IF(OR($A161="",$B161=""),"",IFERROR(IF(VLOOKUP($B161,'Job Details'!$A$2:$J$250,6,FALSE)="Weekly",$A161+7,IF(VLOOKUP($B161,'Job Details'!$A$2:$J$250,6,FALSE)="Biweekly",$A161+14,IF(VLOOKUP($B161,'Job Details'!$A$2:$J$250,6,FALSE)="Monthly",$A161+30,""))),""))</f>
        <v/>
      </c>
    </row>
    <row r="162">
      <c r="A162" s="35" t="n"/>
      <c r="D162" s="36">
        <f>IF($C162="","",IFERROR(VLOOKUP($C162,'Services &amp; Rates'!$A$2:$B$30,2,FALSE),""))</f>
        <v/>
      </c>
      <c r="G162" s="37">
        <f>IF(OR($A162="",$B162=""),"",IFERROR(IF(VLOOKUP($B162,'Job Details'!$A$2:$J$250,6,FALSE)="Weekly",$A162+7,IF(VLOOKUP($B162,'Job Details'!$A$2:$J$250,6,FALSE)="Biweekly",$A162+14,IF(VLOOKUP($B162,'Job Details'!$A$2:$J$250,6,FALSE)="Monthly",$A162+30,""))),""))</f>
        <v/>
      </c>
    </row>
    <row r="163">
      <c r="A163" s="35" t="n"/>
      <c r="D163" s="36">
        <f>IF($C163="","",IFERROR(VLOOKUP($C163,'Services &amp; Rates'!$A$2:$B$30,2,FALSE),""))</f>
        <v/>
      </c>
      <c r="G163" s="37">
        <f>IF(OR($A163="",$B163=""),"",IFERROR(IF(VLOOKUP($B163,'Job Details'!$A$2:$J$250,6,FALSE)="Weekly",$A163+7,IF(VLOOKUP($B163,'Job Details'!$A$2:$J$250,6,FALSE)="Biweekly",$A163+14,IF(VLOOKUP($B163,'Job Details'!$A$2:$J$250,6,FALSE)="Monthly",$A163+30,""))),""))</f>
        <v/>
      </c>
    </row>
    <row r="164">
      <c r="A164" s="35" t="n"/>
      <c r="D164" s="36">
        <f>IF($C164="","",IFERROR(VLOOKUP($C164,'Services &amp; Rates'!$A$2:$B$30,2,FALSE),""))</f>
        <v/>
      </c>
      <c r="G164" s="37">
        <f>IF(OR($A164="",$B164=""),"",IFERROR(IF(VLOOKUP($B164,'Job Details'!$A$2:$J$250,6,FALSE)="Weekly",$A164+7,IF(VLOOKUP($B164,'Job Details'!$A$2:$J$250,6,FALSE)="Biweekly",$A164+14,IF(VLOOKUP($B164,'Job Details'!$A$2:$J$250,6,FALSE)="Monthly",$A164+30,""))),""))</f>
        <v/>
      </c>
    </row>
    <row r="165">
      <c r="A165" s="35" t="n"/>
      <c r="D165" s="36">
        <f>IF($C165="","",IFERROR(VLOOKUP($C165,'Services &amp; Rates'!$A$2:$B$30,2,FALSE),""))</f>
        <v/>
      </c>
      <c r="G165" s="37">
        <f>IF(OR($A165="",$B165=""),"",IFERROR(IF(VLOOKUP($B165,'Job Details'!$A$2:$J$250,6,FALSE)="Weekly",$A165+7,IF(VLOOKUP($B165,'Job Details'!$A$2:$J$250,6,FALSE)="Biweekly",$A165+14,IF(VLOOKUP($B165,'Job Details'!$A$2:$J$250,6,FALSE)="Monthly",$A165+30,""))),""))</f>
        <v/>
      </c>
    </row>
    <row r="166">
      <c r="A166" s="35" t="n"/>
      <c r="D166" s="36">
        <f>IF($C166="","",IFERROR(VLOOKUP($C166,'Services &amp; Rates'!$A$2:$B$30,2,FALSE),""))</f>
        <v/>
      </c>
      <c r="G166" s="37">
        <f>IF(OR($A166="",$B166=""),"",IFERROR(IF(VLOOKUP($B166,'Job Details'!$A$2:$J$250,6,FALSE)="Weekly",$A166+7,IF(VLOOKUP($B166,'Job Details'!$A$2:$J$250,6,FALSE)="Biweekly",$A166+14,IF(VLOOKUP($B166,'Job Details'!$A$2:$J$250,6,FALSE)="Monthly",$A166+30,""))),""))</f>
        <v/>
      </c>
    </row>
    <row r="167">
      <c r="A167" s="35" t="n"/>
      <c r="D167" s="36">
        <f>IF($C167="","",IFERROR(VLOOKUP($C167,'Services &amp; Rates'!$A$2:$B$30,2,FALSE),""))</f>
        <v/>
      </c>
      <c r="G167" s="37">
        <f>IF(OR($A167="",$B167=""),"",IFERROR(IF(VLOOKUP($B167,'Job Details'!$A$2:$J$250,6,FALSE)="Weekly",$A167+7,IF(VLOOKUP($B167,'Job Details'!$A$2:$J$250,6,FALSE)="Biweekly",$A167+14,IF(VLOOKUP($B167,'Job Details'!$A$2:$J$250,6,FALSE)="Monthly",$A167+30,""))),""))</f>
        <v/>
      </c>
    </row>
    <row r="168">
      <c r="A168" s="35" t="n"/>
      <c r="D168" s="36">
        <f>IF($C168="","",IFERROR(VLOOKUP($C168,'Services &amp; Rates'!$A$2:$B$30,2,FALSE),""))</f>
        <v/>
      </c>
      <c r="G168" s="37">
        <f>IF(OR($A168="",$B168=""),"",IFERROR(IF(VLOOKUP($B168,'Job Details'!$A$2:$J$250,6,FALSE)="Weekly",$A168+7,IF(VLOOKUP($B168,'Job Details'!$A$2:$J$250,6,FALSE)="Biweekly",$A168+14,IF(VLOOKUP($B168,'Job Details'!$A$2:$J$250,6,FALSE)="Monthly",$A168+30,""))),""))</f>
        <v/>
      </c>
    </row>
    <row r="169">
      <c r="A169" s="35" t="n"/>
      <c r="D169" s="36">
        <f>IF($C169="","",IFERROR(VLOOKUP($C169,'Services &amp; Rates'!$A$2:$B$30,2,FALSE),""))</f>
        <v/>
      </c>
      <c r="G169" s="37">
        <f>IF(OR($A169="",$B169=""),"",IFERROR(IF(VLOOKUP($B169,'Job Details'!$A$2:$J$250,6,FALSE)="Weekly",$A169+7,IF(VLOOKUP($B169,'Job Details'!$A$2:$J$250,6,FALSE)="Biweekly",$A169+14,IF(VLOOKUP($B169,'Job Details'!$A$2:$J$250,6,FALSE)="Monthly",$A169+30,""))),""))</f>
        <v/>
      </c>
    </row>
    <row r="170">
      <c r="A170" s="35" t="n"/>
      <c r="D170" s="36">
        <f>IF($C170="","",IFERROR(VLOOKUP($C170,'Services &amp; Rates'!$A$2:$B$30,2,FALSE),""))</f>
        <v/>
      </c>
      <c r="G170" s="37">
        <f>IF(OR($A170="",$B170=""),"",IFERROR(IF(VLOOKUP($B170,'Job Details'!$A$2:$J$250,6,FALSE)="Weekly",$A170+7,IF(VLOOKUP($B170,'Job Details'!$A$2:$J$250,6,FALSE)="Biweekly",$A170+14,IF(VLOOKUP($B170,'Job Details'!$A$2:$J$250,6,FALSE)="Monthly",$A170+30,""))),""))</f>
        <v/>
      </c>
    </row>
    <row r="171">
      <c r="A171" s="35" t="n"/>
      <c r="D171" s="36">
        <f>IF($C171="","",IFERROR(VLOOKUP($C171,'Services &amp; Rates'!$A$2:$B$30,2,FALSE),""))</f>
        <v/>
      </c>
      <c r="G171" s="37">
        <f>IF(OR($A171="",$B171=""),"",IFERROR(IF(VLOOKUP($B171,'Job Details'!$A$2:$J$250,6,FALSE)="Weekly",$A171+7,IF(VLOOKUP($B171,'Job Details'!$A$2:$J$250,6,FALSE)="Biweekly",$A171+14,IF(VLOOKUP($B171,'Job Details'!$A$2:$J$250,6,FALSE)="Monthly",$A171+30,""))),""))</f>
        <v/>
      </c>
    </row>
    <row r="172">
      <c r="A172" s="35" t="n"/>
      <c r="D172" s="36">
        <f>IF($C172="","",IFERROR(VLOOKUP($C172,'Services &amp; Rates'!$A$2:$B$30,2,FALSE),""))</f>
        <v/>
      </c>
      <c r="G172" s="37">
        <f>IF(OR($A172="",$B172=""),"",IFERROR(IF(VLOOKUP($B172,'Job Details'!$A$2:$J$250,6,FALSE)="Weekly",$A172+7,IF(VLOOKUP($B172,'Job Details'!$A$2:$J$250,6,FALSE)="Biweekly",$A172+14,IF(VLOOKUP($B172,'Job Details'!$A$2:$J$250,6,FALSE)="Monthly",$A172+30,""))),""))</f>
        <v/>
      </c>
    </row>
    <row r="173">
      <c r="A173" s="35" t="n"/>
      <c r="D173" s="36">
        <f>IF($C173="","",IFERROR(VLOOKUP($C173,'Services &amp; Rates'!$A$2:$B$30,2,FALSE),""))</f>
        <v/>
      </c>
      <c r="G173" s="37">
        <f>IF(OR($A173="",$B173=""),"",IFERROR(IF(VLOOKUP($B173,'Job Details'!$A$2:$J$250,6,FALSE)="Weekly",$A173+7,IF(VLOOKUP($B173,'Job Details'!$A$2:$J$250,6,FALSE)="Biweekly",$A173+14,IF(VLOOKUP($B173,'Job Details'!$A$2:$J$250,6,FALSE)="Monthly",$A173+30,""))),""))</f>
        <v/>
      </c>
    </row>
    <row r="174">
      <c r="A174" s="35" t="n"/>
      <c r="D174" s="36">
        <f>IF($C174="","",IFERROR(VLOOKUP($C174,'Services &amp; Rates'!$A$2:$B$30,2,FALSE),""))</f>
        <v/>
      </c>
      <c r="G174" s="37">
        <f>IF(OR($A174="",$B174=""),"",IFERROR(IF(VLOOKUP($B174,'Job Details'!$A$2:$J$250,6,FALSE)="Weekly",$A174+7,IF(VLOOKUP($B174,'Job Details'!$A$2:$J$250,6,FALSE)="Biweekly",$A174+14,IF(VLOOKUP($B174,'Job Details'!$A$2:$J$250,6,FALSE)="Monthly",$A174+30,""))),""))</f>
        <v/>
      </c>
    </row>
    <row r="175">
      <c r="A175" s="35" t="n"/>
      <c r="D175" s="36">
        <f>IF($C175="","",IFERROR(VLOOKUP($C175,'Services &amp; Rates'!$A$2:$B$30,2,FALSE),""))</f>
        <v/>
      </c>
      <c r="G175" s="37">
        <f>IF(OR($A175="",$B175=""),"",IFERROR(IF(VLOOKUP($B175,'Job Details'!$A$2:$J$250,6,FALSE)="Weekly",$A175+7,IF(VLOOKUP($B175,'Job Details'!$A$2:$J$250,6,FALSE)="Biweekly",$A175+14,IF(VLOOKUP($B175,'Job Details'!$A$2:$J$250,6,FALSE)="Monthly",$A175+30,""))),""))</f>
        <v/>
      </c>
    </row>
    <row r="176">
      <c r="A176" s="35" t="n"/>
      <c r="D176" s="36">
        <f>IF($C176="","",IFERROR(VLOOKUP($C176,'Services &amp; Rates'!$A$2:$B$30,2,FALSE),""))</f>
        <v/>
      </c>
      <c r="G176" s="37">
        <f>IF(OR($A176="",$B176=""),"",IFERROR(IF(VLOOKUP($B176,'Job Details'!$A$2:$J$250,6,FALSE)="Weekly",$A176+7,IF(VLOOKUP($B176,'Job Details'!$A$2:$J$250,6,FALSE)="Biweekly",$A176+14,IF(VLOOKUP($B176,'Job Details'!$A$2:$J$250,6,FALSE)="Monthly",$A176+30,""))),""))</f>
        <v/>
      </c>
    </row>
    <row r="177">
      <c r="A177" s="35" t="n"/>
      <c r="D177" s="36">
        <f>IF($C177="","",IFERROR(VLOOKUP($C177,'Services &amp; Rates'!$A$2:$B$30,2,FALSE),""))</f>
        <v/>
      </c>
      <c r="G177" s="37">
        <f>IF(OR($A177="",$B177=""),"",IFERROR(IF(VLOOKUP($B177,'Job Details'!$A$2:$J$250,6,FALSE)="Weekly",$A177+7,IF(VLOOKUP($B177,'Job Details'!$A$2:$J$250,6,FALSE)="Biweekly",$A177+14,IF(VLOOKUP($B177,'Job Details'!$A$2:$J$250,6,FALSE)="Monthly",$A177+30,""))),""))</f>
        <v/>
      </c>
    </row>
    <row r="178">
      <c r="A178" s="35" t="n"/>
      <c r="D178" s="36">
        <f>IF($C178="","",IFERROR(VLOOKUP($C178,'Services &amp; Rates'!$A$2:$B$30,2,FALSE),""))</f>
        <v/>
      </c>
      <c r="G178" s="37">
        <f>IF(OR($A178="",$B178=""),"",IFERROR(IF(VLOOKUP($B178,'Job Details'!$A$2:$J$250,6,FALSE)="Weekly",$A178+7,IF(VLOOKUP($B178,'Job Details'!$A$2:$J$250,6,FALSE)="Biweekly",$A178+14,IF(VLOOKUP($B178,'Job Details'!$A$2:$J$250,6,FALSE)="Monthly",$A178+30,""))),""))</f>
        <v/>
      </c>
    </row>
    <row r="179">
      <c r="A179" s="35" t="n"/>
      <c r="D179" s="36">
        <f>IF($C179="","",IFERROR(VLOOKUP($C179,'Services &amp; Rates'!$A$2:$B$30,2,FALSE),""))</f>
        <v/>
      </c>
      <c r="G179" s="37">
        <f>IF(OR($A179="",$B179=""),"",IFERROR(IF(VLOOKUP($B179,'Job Details'!$A$2:$J$250,6,FALSE)="Weekly",$A179+7,IF(VLOOKUP($B179,'Job Details'!$A$2:$J$250,6,FALSE)="Biweekly",$A179+14,IF(VLOOKUP($B179,'Job Details'!$A$2:$J$250,6,FALSE)="Monthly",$A179+30,""))),""))</f>
        <v/>
      </c>
    </row>
    <row r="180">
      <c r="A180" s="35" t="n"/>
      <c r="D180" s="36">
        <f>IF($C180="","",IFERROR(VLOOKUP($C180,'Services &amp; Rates'!$A$2:$B$30,2,FALSE),""))</f>
        <v/>
      </c>
      <c r="G180" s="37">
        <f>IF(OR($A180="",$B180=""),"",IFERROR(IF(VLOOKUP($B180,'Job Details'!$A$2:$J$250,6,FALSE)="Weekly",$A180+7,IF(VLOOKUP($B180,'Job Details'!$A$2:$J$250,6,FALSE)="Biweekly",$A180+14,IF(VLOOKUP($B180,'Job Details'!$A$2:$J$250,6,FALSE)="Monthly",$A180+30,""))),""))</f>
        <v/>
      </c>
    </row>
    <row r="181">
      <c r="A181" s="35" t="n"/>
      <c r="D181" s="36">
        <f>IF($C181="","",IFERROR(VLOOKUP($C181,'Services &amp; Rates'!$A$2:$B$30,2,FALSE),""))</f>
        <v/>
      </c>
      <c r="G181" s="37">
        <f>IF(OR($A181="",$B181=""),"",IFERROR(IF(VLOOKUP($B181,'Job Details'!$A$2:$J$250,6,FALSE)="Weekly",$A181+7,IF(VLOOKUP($B181,'Job Details'!$A$2:$J$250,6,FALSE)="Biweekly",$A181+14,IF(VLOOKUP($B181,'Job Details'!$A$2:$J$250,6,FALSE)="Monthly",$A181+30,""))),""))</f>
        <v/>
      </c>
    </row>
    <row r="182">
      <c r="A182" s="35" t="n"/>
      <c r="D182" s="36">
        <f>IF($C182="","",IFERROR(VLOOKUP($C182,'Services &amp; Rates'!$A$2:$B$30,2,FALSE),""))</f>
        <v/>
      </c>
      <c r="G182" s="37">
        <f>IF(OR($A182="",$B182=""),"",IFERROR(IF(VLOOKUP($B182,'Job Details'!$A$2:$J$250,6,FALSE)="Weekly",$A182+7,IF(VLOOKUP($B182,'Job Details'!$A$2:$J$250,6,FALSE)="Biweekly",$A182+14,IF(VLOOKUP($B182,'Job Details'!$A$2:$J$250,6,FALSE)="Monthly",$A182+30,""))),""))</f>
        <v/>
      </c>
    </row>
    <row r="183">
      <c r="A183" s="35" t="n"/>
      <c r="D183" s="36">
        <f>IF($C183="","",IFERROR(VLOOKUP($C183,'Services &amp; Rates'!$A$2:$B$30,2,FALSE),""))</f>
        <v/>
      </c>
      <c r="G183" s="37">
        <f>IF(OR($A183="",$B183=""),"",IFERROR(IF(VLOOKUP($B183,'Job Details'!$A$2:$J$250,6,FALSE)="Weekly",$A183+7,IF(VLOOKUP($B183,'Job Details'!$A$2:$J$250,6,FALSE)="Biweekly",$A183+14,IF(VLOOKUP($B183,'Job Details'!$A$2:$J$250,6,FALSE)="Monthly",$A183+30,""))),""))</f>
        <v/>
      </c>
    </row>
    <row r="184">
      <c r="A184" s="35" t="n"/>
      <c r="D184" s="36">
        <f>IF($C184="","",IFERROR(VLOOKUP($C184,'Services &amp; Rates'!$A$2:$B$30,2,FALSE),""))</f>
        <v/>
      </c>
      <c r="G184" s="37">
        <f>IF(OR($A184="",$B184=""),"",IFERROR(IF(VLOOKUP($B184,'Job Details'!$A$2:$J$250,6,FALSE)="Weekly",$A184+7,IF(VLOOKUP($B184,'Job Details'!$A$2:$J$250,6,FALSE)="Biweekly",$A184+14,IF(VLOOKUP($B184,'Job Details'!$A$2:$J$250,6,FALSE)="Monthly",$A184+30,""))),""))</f>
        <v/>
      </c>
    </row>
    <row r="185">
      <c r="A185" s="35" t="n"/>
      <c r="D185" s="36">
        <f>IF($C185="","",IFERROR(VLOOKUP($C185,'Services &amp; Rates'!$A$2:$B$30,2,FALSE),""))</f>
        <v/>
      </c>
      <c r="G185" s="37">
        <f>IF(OR($A185="",$B185=""),"",IFERROR(IF(VLOOKUP($B185,'Job Details'!$A$2:$J$250,6,FALSE)="Weekly",$A185+7,IF(VLOOKUP($B185,'Job Details'!$A$2:$J$250,6,FALSE)="Biweekly",$A185+14,IF(VLOOKUP($B185,'Job Details'!$A$2:$J$250,6,FALSE)="Monthly",$A185+30,""))),""))</f>
        <v/>
      </c>
    </row>
    <row r="186">
      <c r="A186" s="35" t="n"/>
      <c r="D186" s="36">
        <f>IF($C186="","",IFERROR(VLOOKUP($C186,'Services &amp; Rates'!$A$2:$B$30,2,FALSE),""))</f>
        <v/>
      </c>
      <c r="G186" s="37">
        <f>IF(OR($A186="",$B186=""),"",IFERROR(IF(VLOOKUP($B186,'Job Details'!$A$2:$J$250,6,FALSE)="Weekly",$A186+7,IF(VLOOKUP($B186,'Job Details'!$A$2:$J$250,6,FALSE)="Biweekly",$A186+14,IF(VLOOKUP($B186,'Job Details'!$A$2:$J$250,6,FALSE)="Monthly",$A186+30,""))),""))</f>
        <v/>
      </c>
    </row>
    <row r="187">
      <c r="A187" s="35" t="n"/>
      <c r="D187" s="36">
        <f>IF($C187="","",IFERROR(VLOOKUP($C187,'Services &amp; Rates'!$A$2:$B$30,2,FALSE),""))</f>
        <v/>
      </c>
      <c r="G187" s="37">
        <f>IF(OR($A187="",$B187=""),"",IFERROR(IF(VLOOKUP($B187,'Job Details'!$A$2:$J$250,6,FALSE)="Weekly",$A187+7,IF(VLOOKUP($B187,'Job Details'!$A$2:$J$250,6,FALSE)="Biweekly",$A187+14,IF(VLOOKUP($B187,'Job Details'!$A$2:$J$250,6,FALSE)="Monthly",$A187+30,""))),""))</f>
        <v/>
      </c>
    </row>
    <row r="188">
      <c r="A188" s="35" t="n"/>
      <c r="D188" s="36">
        <f>IF($C188="","",IFERROR(VLOOKUP($C188,'Services &amp; Rates'!$A$2:$B$30,2,FALSE),""))</f>
        <v/>
      </c>
      <c r="G188" s="37">
        <f>IF(OR($A188="",$B188=""),"",IFERROR(IF(VLOOKUP($B188,'Job Details'!$A$2:$J$250,6,FALSE)="Weekly",$A188+7,IF(VLOOKUP($B188,'Job Details'!$A$2:$J$250,6,FALSE)="Biweekly",$A188+14,IF(VLOOKUP($B188,'Job Details'!$A$2:$J$250,6,FALSE)="Monthly",$A188+30,""))),""))</f>
        <v/>
      </c>
    </row>
    <row r="189">
      <c r="A189" s="35" t="n"/>
      <c r="D189" s="36">
        <f>IF($C189="","",IFERROR(VLOOKUP($C189,'Services &amp; Rates'!$A$2:$B$30,2,FALSE),""))</f>
        <v/>
      </c>
      <c r="G189" s="37">
        <f>IF(OR($A189="",$B189=""),"",IFERROR(IF(VLOOKUP($B189,'Job Details'!$A$2:$J$250,6,FALSE)="Weekly",$A189+7,IF(VLOOKUP($B189,'Job Details'!$A$2:$J$250,6,FALSE)="Biweekly",$A189+14,IF(VLOOKUP($B189,'Job Details'!$A$2:$J$250,6,FALSE)="Monthly",$A189+30,""))),""))</f>
        <v/>
      </c>
    </row>
    <row r="190">
      <c r="A190" s="35" t="n"/>
      <c r="D190" s="36">
        <f>IF($C190="","",IFERROR(VLOOKUP($C190,'Services &amp; Rates'!$A$2:$B$30,2,FALSE),""))</f>
        <v/>
      </c>
      <c r="G190" s="37">
        <f>IF(OR($A190="",$B190=""),"",IFERROR(IF(VLOOKUP($B190,'Job Details'!$A$2:$J$250,6,FALSE)="Weekly",$A190+7,IF(VLOOKUP($B190,'Job Details'!$A$2:$J$250,6,FALSE)="Biweekly",$A190+14,IF(VLOOKUP($B190,'Job Details'!$A$2:$J$250,6,FALSE)="Monthly",$A190+30,""))),""))</f>
        <v/>
      </c>
    </row>
    <row r="191">
      <c r="A191" s="35" t="n"/>
      <c r="D191" s="36">
        <f>IF($C191="","",IFERROR(VLOOKUP($C191,'Services &amp; Rates'!$A$2:$B$30,2,FALSE),""))</f>
        <v/>
      </c>
      <c r="G191" s="37">
        <f>IF(OR($A191="",$B191=""),"",IFERROR(IF(VLOOKUP($B191,'Job Details'!$A$2:$J$250,6,FALSE)="Weekly",$A191+7,IF(VLOOKUP($B191,'Job Details'!$A$2:$J$250,6,FALSE)="Biweekly",$A191+14,IF(VLOOKUP($B191,'Job Details'!$A$2:$J$250,6,FALSE)="Monthly",$A191+30,""))),""))</f>
        <v/>
      </c>
    </row>
    <row r="192">
      <c r="A192" s="35" t="n"/>
      <c r="D192" s="36">
        <f>IF($C192="","",IFERROR(VLOOKUP($C192,'Services &amp; Rates'!$A$2:$B$30,2,FALSE),""))</f>
        <v/>
      </c>
      <c r="G192" s="37">
        <f>IF(OR($A192="",$B192=""),"",IFERROR(IF(VLOOKUP($B192,'Job Details'!$A$2:$J$250,6,FALSE)="Weekly",$A192+7,IF(VLOOKUP($B192,'Job Details'!$A$2:$J$250,6,FALSE)="Biweekly",$A192+14,IF(VLOOKUP($B192,'Job Details'!$A$2:$J$250,6,FALSE)="Monthly",$A192+30,""))),""))</f>
        <v/>
      </c>
    </row>
    <row r="193">
      <c r="A193" s="35" t="n"/>
      <c r="D193" s="36">
        <f>IF($C193="","",IFERROR(VLOOKUP($C193,'Services &amp; Rates'!$A$2:$B$30,2,FALSE),""))</f>
        <v/>
      </c>
      <c r="G193" s="37">
        <f>IF(OR($A193="",$B193=""),"",IFERROR(IF(VLOOKUP($B193,'Job Details'!$A$2:$J$250,6,FALSE)="Weekly",$A193+7,IF(VLOOKUP($B193,'Job Details'!$A$2:$J$250,6,FALSE)="Biweekly",$A193+14,IF(VLOOKUP($B193,'Job Details'!$A$2:$J$250,6,FALSE)="Monthly",$A193+30,""))),""))</f>
        <v/>
      </c>
    </row>
    <row r="194">
      <c r="A194" s="35" t="n"/>
      <c r="D194" s="36">
        <f>IF($C194="","",IFERROR(VLOOKUP($C194,'Services &amp; Rates'!$A$2:$B$30,2,FALSE),""))</f>
        <v/>
      </c>
      <c r="G194" s="37">
        <f>IF(OR($A194="",$B194=""),"",IFERROR(IF(VLOOKUP($B194,'Job Details'!$A$2:$J$250,6,FALSE)="Weekly",$A194+7,IF(VLOOKUP($B194,'Job Details'!$A$2:$J$250,6,FALSE)="Biweekly",$A194+14,IF(VLOOKUP($B194,'Job Details'!$A$2:$J$250,6,FALSE)="Monthly",$A194+30,""))),""))</f>
        <v/>
      </c>
    </row>
    <row r="195">
      <c r="A195" s="35" t="n"/>
      <c r="D195" s="36">
        <f>IF($C195="","",IFERROR(VLOOKUP($C195,'Services &amp; Rates'!$A$2:$B$30,2,FALSE),""))</f>
        <v/>
      </c>
      <c r="G195" s="37">
        <f>IF(OR($A195="",$B195=""),"",IFERROR(IF(VLOOKUP($B195,'Job Details'!$A$2:$J$250,6,FALSE)="Weekly",$A195+7,IF(VLOOKUP($B195,'Job Details'!$A$2:$J$250,6,FALSE)="Biweekly",$A195+14,IF(VLOOKUP($B195,'Job Details'!$A$2:$J$250,6,FALSE)="Monthly",$A195+30,""))),""))</f>
        <v/>
      </c>
    </row>
    <row r="196">
      <c r="A196" s="35" t="n"/>
      <c r="D196" s="36">
        <f>IF($C196="","",IFERROR(VLOOKUP($C196,'Services &amp; Rates'!$A$2:$B$30,2,FALSE),""))</f>
        <v/>
      </c>
      <c r="G196" s="37">
        <f>IF(OR($A196="",$B196=""),"",IFERROR(IF(VLOOKUP($B196,'Job Details'!$A$2:$J$250,6,FALSE)="Weekly",$A196+7,IF(VLOOKUP($B196,'Job Details'!$A$2:$J$250,6,FALSE)="Biweekly",$A196+14,IF(VLOOKUP($B196,'Job Details'!$A$2:$J$250,6,FALSE)="Monthly",$A196+30,""))),""))</f>
        <v/>
      </c>
    </row>
    <row r="197">
      <c r="A197" s="35" t="n"/>
      <c r="D197" s="36">
        <f>IF($C197="","",IFERROR(VLOOKUP($C197,'Services &amp; Rates'!$A$2:$B$30,2,FALSE),""))</f>
        <v/>
      </c>
      <c r="G197" s="37">
        <f>IF(OR($A197="",$B197=""),"",IFERROR(IF(VLOOKUP($B197,'Job Details'!$A$2:$J$250,6,FALSE)="Weekly",$A197+7,IF(VLOOKUP($B197,'Job Details'!$A$2:$J$250,6,FALSE)="Biweekly",$A197+14,IF(VLOOKUP($B197,'Job Details'!$A$2:$J$250,6,FALSE)="Monthly",$A197+30,""))),""))</f>
        <v/>
      </c>
    </row>
    <row r="198">
      <c r="A198" s="35" t="n"/>
      <c r="D198" s="36">
        <f>IF($C198="","",IFERROR(VLOOKUP($C198,'Services &amp; Rates'!$A$2:$B$30,2,FALSE),""))</f>
        <v/>
      </c>
      <c r="G198" s="37">
        <f>IF(OR($A198="",$B198=""),"",IFERROR(IF(VLOOKUP($B198,'Job Details'!$A$2:$J$250,6,FALSE)="Weekly",$A198+7,IF(VLOOKUP($B198,'Job Details'!$A$2:$J$250,6,FALSE)="Biweekly",$A198+14,IF(VLOOKUP($B198,'Job Details'!$A$2:$J$250,6,FALSE)="Monthly",$A198+30,""))),""))</f>
        <v/>
      </c>
    </row>
    <row r="199">
      <c r="A199" s="35" t="n"/>
      <c r="D199" s="36">
        <f>IF($C199="","",IFERROR(VLOOKUP($C199,'Services &amp; Rates'!$A$2:$B$30,2,FALSE),""))</f>
        <v/>
      </c>
      <c r="G199" s="37">
        <f>IF(OR($A199="",$B199=""),"",IFERROR(IF(VLOOKUP($B199,'Job Details'!$A$2:$J$250,6,FALSE)="Weekly",$A199+7,IF(VLOOKUP($B199,'Job Details'!$A$2:$J$250,6,FALSE)="Biweekly",$A199+14,IF(VLOOKUP($B199,'Job Details'!$A$2:$J$250,6,FALSE)="Monthly",$A199+30,""))),""))</f>
        <v/>
      </c>
    </row>
    <row r="200">
      <c r="A200" s="35" t="n"/>
      <c r="D200" s="36">
        <f>IF($C200="","",IFERROR(VLOOKUP($C200,'Services &amp; Rates'!$A$2:$B$30,2,FALSE),""))</f>
        <v/>
      </c>
      <c r="G200" s="37">
        <f>IF(OR($A200="",$B200=""),"",IFERROR(IF(VLOOKUP($B200,'Job Details'!$A$2:$J$250,6,FALSE)="Weekly",$A200+7,IF(VLOOKUP($B200,'Job Details'!$A$2:$J$250,6,FALSE)="Biweekly",$A200+14,IF(VLOOKUP($B200,'Job Details'!$A$2:$J$250,6,FALSE)="Monthly",$A200+30,""))),""))</f>
        <v/>
      </c>
    </row>
    <row r="201">
      <c r="A201" s="35" t="n"/>
      <c r="D201" s="36">
        <f>IF($C201="","",IFERROR(VLOOKUP($C201,'Services &amp; Rates'!$A$2:$B$30,2,FALSE),""))</f>
        <v/>
      </c>
      <c r="G201" s="37">
        <f>IF(OR($A201="",$B201=""),"",IFERROR(IF(VLOOKUP($B201,'Job Details'!$A$2:$J$250,6,FALSE)="Weekly",$A201+7,IF(VLOOKUP($B201,'Job Details'!$A$2:$J$250,6,FALSE)="Biweekly",$A201+14,IF(VLOOKUP($B201,'Job Details'!$A$2:$J$250,6,FALSE)="Monthly",$A201+30,""))),""))</f>
        <v/>
      </c>
    </row>
    <row r="202">
      <c r="A202" s="35" t="n"/>
      <c r="D202" s="36">
        <f>IF($C202="","",IFERROR(VLOOKUP($C202,'Services &amp; Rates'!$A$2:$B$30,2,FALSE),""))</f>
        <v/>
      </c>
      <c r="G202" s="37">
        <f>IF(OR($A202="",$B202=""),"",IFERROR(IF(VLOOKUP($B202,'Job Details'!$A$2:$J$250,6,FALSE)="Weekly",$A202+7,IF(VLOOKUP($B202,'Job Details'!$A$2:$J$250,6,FALSE)="Biweekly",$A202+14,IF(VLOOKUP($B202,'Job Details'!$A$2:$J$250,6,FALSE)="Monthly",$A202+30,""))),""))</f>
        <v/>
      </c>
    </row>
    <row r="203">
      <c r="A203" s="35" t="n"/>
      <c r="D203" s="36">
        <f>IF($C203="","",IFERROR(VLOOKUP($C203,'Services &amp; Rates'!$A$2:$B$30,2,FALSE),""))</f>
        <v/>
      </c>
      <c r="G203" s="37">
        <f>IF(OR($A203="",$B203=""),"",IFERROR(IF(VLOOKUP($B203,'Job Details'!$A$2:$J$250,6,FALSE)="Weekly",$A203+7,IF(VLOOKUP($B203,'Job Details'!$A$2:$J$250,6,FALSE)="Biweekly",$A203+14,IF(VLOOKUP($B203,'Job Details'!$A$2:$J$250,6,FALSE)="Monthly",$A203+30,""))),""))</f>
        <v/>
      </c>
    </row>
    <row r="204">
      <c r="A204" s="35" t="n"/>
      <c r="D204" s="36">
        <f>IF($C204="","",IFERROR(VLOOKUP($C204,'Services &amp; Rates'!$A$2:$B$30,2,FALSE),""))</f>
        <v/>
      </c>
      <c r="G204" s="37">
        <f>IF(OR($A204="",$B204=""),"",IFERROR(IF(VLOOKUP($B204,'Job Details'!$A$2:$J$250,6,FALSE)="Weekly",$A204+7,IF(VLOOKUP($B204,'Job Details'!$A$2:$J$250,6,FALSE)="Biweekly",$A204+14,IF(VLOOKUP($B204,'Job Details'!$A$2:$J$250,6,FALSE)="Monthly",$A204+30,""))),""))</f>
        <v/>
      </c>
    </row>
    <row r="205">
      <c r="A205" s="35" t="n"/>
      <c r="D205" s="36">
        <f>IF($C205="","",IFERROR(VLOOKUP($C205,'Services &amp; Rates'!$A$2:$B$30,2,FALSE),""))</f>
        <v/>
      </c>
      <c r="G205" s="37">
        <f>IF(OR($A205="",$B205=""),"",IFERROR(IF(VLOOKUP($B205,'Job Details'!$A$2:$J$250,6,FALSE)="Weekly",$A205+7,IF(VLOOKUP($B205,'Job Details'!$A$2:$J$250,6,FALSE)="Biweekly",$A205+14,IF(VLOOKUP($B205,'Job Details'!$A$2:$J$250,6,FALSE)="Monthly",$A205+30,""))),""))</f>
        <v/>
      </c>
    </row>
    <row r="206">
      <c r="A206" s="35" t="n"/>
      <c r="D206" s="36">
        <f>IF($C206="","",IFERROR(VLOOKUP($C206,'Services &amp; Rates'!$A$2:$B$30,2,FALSE),""))</f>
        <v/>
      </c>
      <c r="G206" s="37">
        <f>IF(OR($A206="",$B206=""),"",IFERROR(IF(VLOOKUP($B206,'Job Details'!$A$2:$J$250,6,FALSE)="Weekly",$A206+7,IF(VLOOKUP($B206,'Job Details'!$A$2:$J$250,6,FALSE)="Biweekly",$A206+14,IF(VLOOKUP($B206,'Job Details'!$A$2:$J$250,6,FALSE)="Monthly",$A206+30,""))),""))</f>
        <v/>
      </c>
    </row>
    <row r="207">
      <c r="A207" s="35" t="n"/>
      <c r="D207" s="36">
        <f>IF($C207="","",IFERROR(VLOOKUP($C207,'Services &amp; Rates'!$A$2:$B$30,2,FALSE),""))</f>
        <v/>
      </c>
      <c r="G207" s="37">
        <f>IF(OR($A207="",$B207=""),"",IFERROR(IF(VLOOKUP($B207,'Job Details'!$A$2:$J$250,6,FALSE)="Weekly",$A207+7,IF(VLOOKUP($B207,'Job Details'!$A$2:$J$250,6,FALSE)="Biweekly",$A207+14,IF(VLOOKUP($B207,'Job Details'!$A$2:$J$250,6,FALSE)="Monthly",$A207+30,""))),""))</f>
        <v/>
      </c>
    </row>
    <row r="208">
      <c r="A208" s="35" t="n"/>
      <c r="D208" s="36">
        <f>IF($C208="","",IFERROR(VLOOKUP($C208,'Services &amp; Rates'!$A$2:$B$30,2,FALSE),""))</f>
        <v/>
      </c>
      <c r="G208" s="37">
        <f>IF(OR($A208="",$B208=""),"",IFERROR(IF(VLOOKUP($B208,'Job Details'!$A$2:$J$250,6,FALSE)="Weekly",$A208+7,IF(VLOOKUP($B208,'Job Details'!$A$2:$J$250,6,FALSE)="Biweekly",$A208+14,IF(VLOOKUP($B208,'Job Details'!$A$2:$J$250,6,FALSE)="Monthly",$A208+30,""))),""))</f>
        <v/>
      </c>
    </row>
    <row r="209">
      <c r="A209" s="35" t="n"/>
      <c r="D209" s="36">
        <f>IF($C209="","",IFERROR(VLOOKUP($C209,'Services &amp; Rates'!$A$2:$B$30,2,FALSE),""))</f>
        <v/>
      </c>
      <c r="G209" s="37">
        <f>IF(OR($A209="",$B209=""),"",IFERROR(IF(VLOOKUP($B209,'Job Details'!$A$2:$J$250,6,FALSE)="Weekly",$A209+7,IF(VLOOKUP($B209,'Job Details'!$A$2:$J$250,6,FALSE)="Biweekly",$A209+14,IF(VLOOKUP($B209,'Job Details'!$A$2:$J$250,6,FALSE)="Monthly",$A209+30,""))),""))</f>
        <v/>
      </c>
    </row>
    <row r="210">
      <c r="A210" s="35" t="n"/>
      <c r="D210" s="36">
        <f>IF($C210="","",IFERROR(VLOOKUP($C210,'Services &amp; Rates'!$A$2:$B$30,2,FALSE),""))</f>
        <v/>
      </c>
      <c r="G210" s="37">
        <f>IF(OR($A210="",$B210=""),"",IFERROR(IF(VLOOKUP($B210,'Job Details'!$A$2:$J$250,6,FALSE)="Weekly",$A210+7,IF(VLOOKUP($B210,'Job Details'!$A$2:$J$250,6,FALSE)="Biweekly",$A210+14,IF(VLOOKUP($B210,'Job Details'!$A$2:$J$250,6,FALSE)="Monthly",$A210+30,""))),""))</f>
        <v/>
      </c>
    </row>
    <row r="211">
      <c r="A211" s="35" t="n"/>
      <c r="D211" s="36">
        <f>IF($C211="","",IFERROR(VLOOKUP($C211,'Services &amp; Rates'!$A$2:$B$30,2,FALSE),""))</f>
        <v/>
      </c>
      <c r="G211" s="37">
        <f>IF(OR($A211="",$B211=""),"",IFERROR(IF(VLOOKUP($B211,'Job Details'!$A$2:$J$250,6,FALSE)="Weekly",$A211+7,IF(VLOOKUP($B211,'Job Details'!$A$2:$J$250,6,FALSE)="Biweekly",$A211+14,IF(VLOOKUP($B211,'Job Details'!$A$2:$J$250,6,FALSE)="Monthly",$A211+30,""))),""))</f>
        <v/>
      </c>
    </row>
    <row r="212">
      <c r="A212" s="35" t="n"/>
      <c r="D212" s="36">
        <f>IF($C212="","",IFERROR(VLOOKUP($C212,'Services &amp; Rates'!$A$2:$B$30,2,FALSE),""))</f>
        <v/>
      </c>
      <c r="G212" s="37">
        <f>IF(OR($A212="",$B212=""),"",IFERROR(IF(VLOOKUP($B212,'Job Details'!$A$2:$J$250,6,FALSE)="Weekly",$A212+7,IF(VLOOKUP($B212,'Job Details'!$A$2:$J$250,6,FALSE)="Biweekly",$A212+14,IF(VLOOKUP($B212,'Job Details'!$A$2:$J$250,6,FALSE)="Monthly",$A212+30,""))),""))</f>
        <v/>
      </c>
    </row>
    <row r="213">
      <c r="A213" s="35" t="n"/>
      <c r="D213" s="36">
        <f>IF($C213="","",IFERROR(VLOOKUP($C213,'Services &amp; Rates'!$A$2:$B$30,2,FALSE),""))</f>
        <v/>
      </c>
      <c r="G213" s="37">
        <f>IF(OR($A213="",$B213=""),"",IFERROR(IF(VLOOKUP($B213,'Job Details'!$A$2:$J$250,6,FALSE)="Weekly",$A213+7,IF(VLOOKUP($B213,'Job Details'!$A$2:$J$250,6,FALSE)="Biweekly",$A213+14,IF(VLOOKUP($B213,'Job Details'!$A$2:$J$250,6,FALSE)="Monthly",$A213+30,""))),""))</f>
        <v/>
      </c>
    </row>
    <row r="214">
      <c r="A214" s="35" t="n"/>
      <c r="D214" s="36">
        <f>IF($C214="","",IFERROR(VLOOKUP($C214,'Services &amp; Rates'!$A$2:$B$30,2,FALSE),""))</f>
        <v/>
      </c>
      <c r="G214" s="37">
        <f>IF(OR($A214="",$B214=""),"",IFERROR(IF(VLOOKUP($B214,'Job Details'!$A$2:$J$250,6,FALSE)="Weekly",$A214+7,IF(VLOOKUP($B214,'Job Details'!$A$2:$J$250,6,FALSE)="Biweekly",$A214+14,IF(VLOOKUP($B214,'Job Details'!$A$2:$J$250,6,FALSE)="Monthly",$A214+30,""))),""))</f>
        <v/>
      </c>
    </row>
    <row r="215">
      <c r="A215" s="35" t="n"/>
      <c r="D215" s="36">
        <f>IF($C215="","",IFERROR(VLOOKUP($C215,'Services &amp; Rates'!$A$2:$B$30,2,FALSE),""))</f>
        <v/>
      </c>
      <c r="G215" s="37">
        <f>IF(OR($A215="",$B215=""),"",IFERROR(IF(VLOOKUP($B215,'Job Details'!$A$2:$J$250,6,FALSE)="Weekly",$A215+7,IF(VLOOKUP($B215,'Job Details'!$A$2:$J$250,6,FALSE)="Biweekly",$A215+14,IF(VLOOKUP($B215,'Job Details'!$A$2:$J$250,6,FALSE)="Monthly",$A215+30,""))),""))</f>
        <v/>
      </c>
    </row>
    <row r="216">
      <c r="A216" s="35" t="n"/>
      <c r="D216" s="36">
        <f>IF($C216="","",IFERROR(VLOOKUP($C216,'Services &amp; Rates'!$A$2:$B$30,2,FALSE),""))</f>
        <v/>
      </c>
      <c r="G216" s="37">
        <f>IF(OR($A216="",$B216=""),"",IFERROR(IF(VLOOKUP($B216,'Job Details'!$A$2:$J$250,6,FALSE)="Weekly",$A216+7,IF(VLOOKUP($B216,'Job Details'!$A$2:$J$250,6,FALSE)="Biweekly",$A216+14,IF(VLOOKUP($B216,'Job Details'!$A$2:$J$250,6,FALSE)="Monthly",$A216+30,""))),""))</f>
        <v/>
      </c>
    </row>
    <row r="217">
      <c r="A217" s="35" t="n"/>
      <c r="D217" s="36">
        <f>IF($C217="","",IFERROR(VLOOKUP($C217,'Services &amp; Rates'!$A$2:$B$30,2,FALSE),""))</f>
        <v/>
      </c>
      <c r="G217" s="37">
        <f>IF(OR($A217="",$B217=""),"",IFERROR(IF(VLOOKUP($B217,'Job Details'!$A$2:$J$250,6,FALSE)="Weekly",$A217+7,IF(VLOOKUP($B217,'Job Details'!$A$2:$J$250,6,FALSE)="Biweekly",$A217+14,IF(VLOOKUP($B217,'Job Details'!$A$2:$J$250,6,FALSE)="Monthly",$A217+30,""))),""))</f>
        <v/>
      </c>
    </row>
    <row r="218">
      <c r="A218" s="35" t="n"/>
      <c r="D218" s="36">
        <f>IF($C218="","",IFERROR(VLOOKUP($C218,'Services &amp; Rates'!$A$2:$B$30,2,FALSE),""))</f>
        <v/>
      </c>
      <c r="G218" s="37">
        <f>IF(OR($A218="",$B218=""),"",IFERROR(IF(VLOOKUP($B218,'Job Details'!$A$2:$J$250,6,FALSE)="Weekly",$A218+7,IF(VLOOKUP($B218,'Job Details'!$A$2:$J$250,6,FALSE)="Biweekly",$A218+14,IF(VLOOKUP($B218,'Job Details'!$A$2:$J$250,6,FALSE)="Monthly",$A218+30,""))),""))</f>
        <v/>
      </c>
    </row>
    <row r="219">
      <c r="A219" s="35" t="n"/>
      <c r="D219" s="36">
        <f>IF($C219="","",IFERROR(VLOOKUP($C219,'Services &amp; Rates'!$A$2:$B$30,2,FALSE),""))</f>
        <v/>
      </c>
      <c r="G219" s="37">
        <f>IF(OR($A219="",$B219=""),"",IFERROR(IF(VLOOKUP($B219,'Job Details'!$A$2:$J$250,6,FALSE)="Weekly",$A219+7,IF(VLOOKUP($B219,'Job Details'!$A$2:$J$250,6,FALSE)="Biweekly",$A219+14,IF(VLOOKUP($B219,'Job Details'!$A$2:$J$250,6,FALSE)="Monthly",$A219+30,""))),""))</f>
        <v/>
      </c>
    </row>
    <row r="220">
      <c r="A220" s="35" t="n"/>
      <c r="D220" s="36">
        <f>IF($C220="","",IFERROR(VLOOKUP($C220,'Services &amp; Rates'!$A$2:$B$30,2,FALSE),""))</f>
        <v/>
      </c>
      <c r="G220" s="37">
        <f>IF(OR($A220="",$B220=""),"",IFERROR(IF(VLOOKUP($B220,'Job Details'!$A$2:$J$250,6,FALSE)="Weekly",$A220+7,IF(VLOOKUP($B220,'Job Details'!$A$2:$J$250,6,FALSE)="Biweekly",$A220+14,IF(VLOOKUP($B220,'Job Details'!$A$2:$J$250,6,FALSE)="Monthly",$A220+30,""))),""))</f>
        <v/>
      </c>
    </row>
    <row r="221">
      <c r="A221" s="35" t="n"/>
      <c r="D221" s="36">
        <f>IF($C221="","",IFERROR(VLOOKUP($C221,'Services &amp; Rates'!$A$2:$B$30,2,FALSE),""))</f>
        <v/>
      </c>
      <c r="G221" s="37">
        <f>IF(OR($A221="",$B221=""),"",IFERROR(IF(VLOOKUP($B221,'Job Details'!$A$2:$J$250,6,FALSE)="Weekly",$A221+7,IF(VLOOKUP($B221,'Job Details'!$A$2:$J$250,6,FALSE)="Biweekly",$A221+14,IF(VLOOKUP($B221,'Job Details'!$A$2:$J$250,6,FALSE)="Monthly",$A221+30,""))),""))</f>
        <v/>
      </c>
    </row>
    <row r="222">
      <c r="A222" s="35" t="n"/>
      <c r="D222" s="36">
        <f>IF($C222="","",IFERROR(VLOOKUP($C222,'Services &amp; Rates'!$A$2:$B$30,2,FALSE),""))</f>
        <v/>
      </c>
      <c r="G222" s="37">
        <f>IF(OR($A222="",$B222=""),"",IFERROR(IF(VLOOKUP($B222,'Job Details'!$A$2:$J$250,6,FALSE)="Weekly",$A222+7,IF(VLOOKUP($B222,'Job Details'!$A$2:$J$250,6,FALSE)="Biweekly",$A222+14,IF(VLOOKUP($B222,'Job Details'!$A$2:$J$250,6,FALSE)="Monthly",$A222+30,""))),""))</f>
        <v/>
      </c>
    </row>
    <row r="223">
      <c r="A223" s="35" t="n"/>
      <c r="D223" s="36">
        <f>IF($C223="","",IFERROR(VLOOKUP($C223,'Services &amp; Rates'!$A$2:$B$30,2,FALSE),""))</f>
        <v/>
      </c>
      <c r="G223" s="37">
        <f>IF(OR($A223="",$B223=""),"",IFERROR(IF(VLOOKUP($B223,'Job Details'!$A$2:$J$250,6,FALSE)="Weekly",$A223+7,IF(VLOOKUP($B223,'Job Details'!$A$2:$J$250,6,FALSE)="Biweekly",$A223+14,IF(VLOOKUP($B223,'Job Details'!$A$2:$J$250,6,FALSE)="Monthly",$A223+30,""))),""))</f>
        <v/>
      </c>
    </row>
    <row r="224">
      <c r="A224" s="35" t="n"/>
      <c r="D224" s="36">
        <f>IF($C224="","",IFERROR(VLOOKUP($C224,'Services &amp; Rates'!$A$2:$B$30,2,FALSE),""))</f>
        <v/>
      </c>
      <c r="G224" s="37">
        <f>IF(OR($A224="",$B224=""),"",IFERROR(IF(VLOOKUP($B224,'Job Details'!$A$2:$J$250,6,FALSE)="Weekly",$A224+7,IF(VLOOKUP($B224,'Job Details'!$A$2:$J$250,6,FALSE)="Biweekly",$A224+14,IF(VLOOKUP($B224,'Job Details'!$A$2:$J$250,6,FALSE)="Monthly",$A224+30,""))),""))</f>
        <v/>
      </c>
    </row>
    <row r="225">
      <c r="A225" s="35" t="n"/>
      <c r="D225" s="36">
        <f>IF($C225="","",IFERROR(VLOOKUP($C225,'Services &amp; Rates'!$A$2:$B$30,2,FALSE),""))</f>
        <v/>
      </c>
      <c r="G225" s="37">
        <f>IF(OR($A225="",$B225=""),"",IFERROR(IF(VLOOKUP($B225,'Job Details'!$A$2:$J$250,6,FALSE)="Weekly",$A225+7,IF(VLOOKUP($B225,'Job Details'!$A$2:$J$250,6,FALSE)="Biweekly",$A225+14,IF(VLOOKUP($B225,'Job Details'!$A$2:$J$250,6,FALSE)="Monthly",$A225+30,""))),""))</f>
        <v/>
      </c>
    </row>
    <row r="226">
      <c r="A226" s="35" t="n"/>
      <c r="D226" s="36">
        <f>IF($C226="","",IFERROR(VLOOKUP($C226,'Services &amp; Rates'!$A$2:$B$30,2,FALSE),""))</f>
        <v/>
      </c>
      <c r="G226" s="37">
        <f>IF(OR($A226="",$B226=""),"",IFERROR(IF(VLOOKUP($B226,'Job Details'!$A$2:$J$250,6,FALSE)="Weekly",$A226+7,IF(VLOOKUP($B226,'Job Details'!$A$2:$J$250,6,FALSE)="Biweekly",$A226+14,IF(VLOOKUP($B226,'Job Details'!$A$2:$J$250,6,FALSE)="Monthly",$A226+30,""))),""))</f>
        <v/>
      </c>
    </row>
    <row r="227">
      <c r="A227" s="35" t="n"/>
      <c r="D227" s="36">
        <f>IF($C227="","",IFERROR(VLOOKUP($C227,'Services &amp; Rates'!$A$2:$B$30,2,FALSE),""))</f>
        <v/>
      </c>
      <c r="G227" s="37">
        <f>IF(OR($A227="",$B227=""),"",IFERROR(IF(VLOOKUP($B227,'Job Details'!$A$2:$J$250,6,FALSE)="Weekly",$A227+7,IF(VLOOKUP($B227,'Job Details'!$A$2:$J$250,6,FALSE)="Biweekly",$A227+14,IF(VLOOKUP($B227,'Job Details'!$A$2:$J$250,6,FALSE)="Monthly",$A227+30,""))),""))</f>
        <v/>
      </c>
    </row>
    <row r="228">
      <c r="A228" s="35" t="n"/>
      <c r="D228" s="36">
        <f>IF($C228="","",IFERROR(VLOOKUP($C228,'Services &amp; Rates'!$A$2:$B$30,2,FALSE),""))</f>
        <v/>
      </c>
      <c r="G228" s="37">
        <f>IF(OR($A228="",$B228=""),"",IFERROR(IF(VLOOKUP($B228,'Job Details'!$A$2:$J$250,6,FALSE)="Weekly",$A228+7,IF(VLOOKUP($B228,'Job Details'!$A$2:$J$250,6,FALSE)="Biweekly",$A228+14,IF(VLOOKUP($B228,'Job Details'!$A$2:$J$250,6,FALSE)="Monthly",$A228+30,""))),""))</f>
        <v/>
      </c>
    </row>
    <row r="229">
      <c r="A229" s="35" t="n"/>
      <c r="D229" s="36">
        <f>IF($C229="","",IFERROR(VLOOKUP($C229,'Services &amp; Rates'!$A$2:$B$30,2,FALSE),""))</f>
        <v/>
      </c>
      <c r="G229" s="37">
        <f>IF(OR($A229="",$B229=""),"",IFERROR(IF(VLOOKUP($B229,'Job Details'!$A$2:$J$250,6,FALSE)="Weekly",$A229+7,IF(VLOOKUP($B229,'Job Details'!$A$2:$J$250,6,FALSE)="Biweekly",$A229+14,IF(VLOOKUP($B229,'Job Details'!$A$2:$J$250,6,FALSE)="Monthly",$A229+30,""))),""))</f>
        <v/>
      </c>
    </row>
    <row r="230">
      <c r="A230" s="35" t="n"/>
      <c r="D230" s="36">
        <f>IF($C230="","",IFERROR(VLOOKUP($C230,'Services &amp; Rates'!$A$2:$B$30,2,FALSE),""))</f>
        <v/>
      </c>
      <c r="G230" s="37">
        <f>IF(OR($A230="",$B230=""),"",IFERROR(IF(VLOOKUP($B230,'Job Details'!$A$2:$J$250,6,FALSE)="Weekly",$A230+7,IF(VLOOKUP($B230,'Job Details'!$A$2:$J$250,6,FALSE)="Biweekly",$A230+14,IF(VLOOKUP($B230,'Job Details'!$A$2:$J$250,6,FALSE)="Monthly",$A230+30,""))),""))</f>
        <v/>
      </c>
    </row>
    <row r="231">
      <c r="A231" s="35" t="n"/>
      <c r="D231" s="36">
        <f>IF($C231="","",IFERROR(VLOOKUP($C231,'Services &amp; Rates'!$A$2:$B$30,2,FALSE),""))</f>
        <v/>
      </c>
      <c r="G231" s="37">
        <f>IF(OR($A231="",$B231=""),"",IFERROR(IF(VLOOKUP($B231,'Job Details'!$A$2:$J$250,6,FALSE)="Weekly",$A231+7,IF(VLOOKUP($B231,'Job Details'!$A$2:$J$250,6,FALSE)="Biweekly",$A231+14,IF(VLOOKUP($B231,'Job Details'!$A$2:$J$250,6,FALSE)="Monthly",$A231+30,""))),""))</f>
        <v/>
      </c>
    </row>
    <row r="232">
      <c r="A232" s="35" t="n"/>
      <c r="D232" s="36">
        <f>IF($C232="","",IFERROR(VLOOKUP($C232,'Services &amp; Rates'!$A$2:$B$30,2,FALSE),""))</f>
        <v/>
      </c>
      <c r="G232" s="37">
        <f>IF(OR($A232="",$B232=""),"",IFERROR(IF(VLOOKUP($B232,'Job Details'!$A$2:$J$250,6,FALSE)="Weekly",$A232+7,IF(VLOOKUP($B232,'Job Details'!$A$2:$J$250,6,FALSE)="Biweekly",$A232+14,IF(VLOOKUP($B232,'Job Details'!$A$2:$J$250,6,FALSE)="Monthly",$A232+30,""))),""))</f>
        <v/>
      </c>
    </row>
    <row r="233">
      <c r="A233" s="35" t="n"/>
      <c r="D233" s="36">
        <f>IF($C233="","",IFERROR(VLOOKUP($C233,'Services &amp; Rates'!$A$2:$B$30,2,FALSE),""))</f>
        <v/>
      </c>
      <c r="G233" s="37">
        <f>IF(OR($A233="",$B233=""),"",IFERROR(IF(VLOOKUP($B233,'Job Details'!$A$2:$J$250,6,FALSE)="Weekly",$A233+7,IF(VLOOKUP($B233,'Job Details'!$A$2:$J$250,6,FALSE)="Biweekly",$A233+14,IF(VLOOKUP($B233,'Job Details'!$A$2:$J$250,6,FALSE)="Monthly",$A233+30,""))),""))</f>
        <v/>
      </c>
    </row>
    <row r="234">
      <c r="A234" s="35" t="n"/>
      <c r="D234" s="36">
        <f>IF($C234="","",IFERROR(VLOOKUP($C234,'Services &amp; Rates'!$A$2:$B$30,2,FALSE),""))</f>
        <v/>
      </c>
      <c r="G234" s="37">
        <f>IF(OR($A234="",$B234=""),"",IFERROR(IF(VLOOKUP($B234,'Job Details'!$A$2:$J$250,6,FALSE)="Weekly",$A234+7,IF(VLOOKUP($B234,'Job Details'!$A$2:$J$250,6,FALSE)="Biweekly",$A234+14,IF(VLOOKUP($B234,'Job Details'!$A$2:$J$250,6,FALSE)="Monthly",$A234+30,""))),""))</f>
        <v/>
      </c>
    </row>
    <row r="235">
      <c r="A235" s="35" t="n"/>
      <c r="D235" s="36">
        <f>IF($C235="","",IFERROR(VLOOKUP($C235,'Services &amp; Rates'!$A$2:$B$30,2,FALSE),""))</f>
        <v/>
      </c>
      <c r="G235" s="37">
        <f>IF(OR($A235="",$B235=""),"",IFERROR(IF(VLOOKUP($B235,'Job Details'!$A$2:$J$250,6,FALSE)="Weekly",$A235+7,IF(VLOOKUP($B235,'Job Details'!$A$2:$J$250,6,FALSE)="Biweekly",$A235+14,IF(VLOOKUP($B235,'Job Details'!$A$2:$J$250,6,FALSE)="Monthly",$A235+30,""))),""))</f>
        <v/>
      </c>
    </row>
    <row r="236">
      <c r="A236" s="35" t="n"/>
      <c r="D236" s="36">
        <f>IF($C236="","",IFERROR(VLOOKUP($C236,'Services &amp; Rates'!$A$2:$B$30,2,FALSE),""))</f>
        <v/>
      </c>
      <c r="G236" s="37">
        <f>IF(OR($A236="",$B236=""),"",IFERROR(IF(VLOOKUP($B236,'Job Details'!$A$2:$J$250,6,FALSE)="Weekly",$A236+7,IF(VLOOKUP($B236,'Job Details'!$A$2:$J$250,6,FALSE)="Biweekly",$A236+14,IF(VLOOKUP($B236,'Job Details'!$A$2:$J$250,6,FALSE)="Monthly",$A236+30,""))),""))</f>
        <v/>
      </c>
    </row>
    <row r="237">
      <c r="A237" s="35" t="n"/>
      <c r="D237" s="36">
        <f>IF($C237="","",IFERROR(VLOOKUP($C237,'Services &amp; Rates'!$A$2:$B$30,2,FALSE),""))</f>
        <v/>
      </c>
      <c r="G237" s="37">
        <f>IF(OR($A237="",$B237=""),"",IFERROR(IF(VLOOKUP($B237,'Job Details'!$A$2:$J$250,6,FALSE)="Weekly",$A237+7,IF(VLOOKUP($B237,'Job Details'!$A$2:$J$250,6,FALSE)="Biweekly",$A237+14,IF(VLOOKUP($B237,'Job Details'!$A$2:$J$250,6,FALSE)="Monthly",$A237+30,""))),""))</f>
        <v/>
      </c>
    </row>
    <row r="238">
      <c r="A238" s="35" t="n"/>
      <c r="D238" s="36">
        <f>IF($C238="","",IFERROR(VLOOKUP($C238,'Services &amp; Rates'!$A$2:$B$30,2,FALSE),""))</f>
        <v/>
      </c>
      <c r="G238" s="37">
        <f>IF(OR($A238="",$B238=""),"",IFERROR(IF(VLOOKUP($B238,'Job Details'!$A$2:$J$250,6,FALSE)="Weekly",$A238+7,IF(VLOOKUP($B238,'Job Details'!$A$2:$J$250,6,FALSE)="Biweekly",$A238+14,IF(VLOOKUP($B238,'Job Details'!$A$2:$J$250,6,FALSE)="Monthly",$A238+30,""))),""))</f>
        <v/>
      </c>
    </row>
    <row r="239">
      <c r="A239" s="35" t="n"/>
      <c r="D239" s="36">
        <f>IF($C239="","",IFERROR(VLOOKUP($C239,'Services &amp; Rates'!$A$2:$B$30,2,FALSE),""))</f>
        <v/>
      </c>
      <c r="G239" s="37">
        <f>IF(OR($A239="",$B239=""),"",IFERROR(IF(VLOOKUP($B239,'Job Details'!$A$2:$J$250,6,FALSE)="Weekly",$A239+7,IF(VLOOKUP($B239,'Job Details'!$A$2:$J$250,6,FALSE)="Biweekly",$A239+14,IF(VLOOKUP($B239,'Job Details'!$A$2:$J$250,6,FALSE)="Monthly",$A239+30,""))),""))</f>
        <v/>
      </c>
    </row>
    <row r="240">
      <c r="A240" s="35" t="n"/>
      <c r="D240" s="36">
        <f>IF($C240="","",IFERROR(VLOOKUP($C240,'Services &amp; Rates'!$A$2:$B$30,2,FALSE),""))</f>
        <v/>
      </c>
      <c r="G240" s="37">
        <f>IF(OR($A240="",$B240=""),"",IFERROR(IF(VLOOKUP($B240,'Job Details'!$A$2:$J$250,6,FALSE)="Weekly",$A240+7,IF(VLOOKUP($B240,'Job Details'!$A$2:$J$250,6,FALSE)="Biweekly",$A240+14,IF(VLOOKUP($B240,'Job Details'!$A$2:$J$250,6,FALSE)="Monthly",$A240+30,""))),""))</f>
        <v/>
      </c>
    </row>
    <row r="241">
      <c r="A241" s="35" t="n"/>
      <c r="D241" s="36">
        <f>IF($C241="","",IFERROR(VLOOKUP($C241,'Services &amp; Rates'!$A$2:$B$30,2,FALSE),""))</f>
        <v/>
      </c>
      <c r="G241" s="37">
        <f>IF(OR($A241="",$B241=""),"",IFERROR(IF(VLOOKUP($B241,'Job Details'!$A$2:$J$250,6,FALSE)="Weekly",$A241+7,IF(VLOOKUP($B241,'Job Details'!$A$2:$J$250,6,FALSE)="Biweekly",$A241+14,IF(VLOOKUP($B241,'Job Details'!$A$2:$J$250,6,FALSE)="Monthly",$A241+30,""))),""))</f>
        <v/>
      </c>
    </row>
    <row r="242">
      <c r="A242" s="35" t="n"/>
      <c r="D242" s="36">
        <f>IF($C242="","",IFERROR(VLOOKUP($C242,'Services &amp; Rates'!$A$2:$B$30,2,FALSE),""))</f>
        <v/>
      </c>
      <c r="G242" s="37">
        <f>IF(OR($A242="",$B242=""),"",IFERROR(IF(VLOOKUP($B242,'Job Details'!$A$2:$J$250,6,FALSE)="Weekly",$A242+7,IF(VLOOKUP($B242,'Job Details'!$A$2:$J$250,6,FALSE)="Biweekly",$A242+14,IF(VLOOKUP($B242,'Job Details'!$A$2:$J$250,6,FALSE)="Monthly",$A242+30,""))),""))</f>
        <v/>
      </c>
    </row>
    <row r="243">
      <c r="A243" s="35" t="n"/>
      <c r="D243" s="36">
        <f>IF($C243="","",IFERROR(VLOOKUP($C243,'Services &amp; Rates'!$A$2:$B$30,2,FALSE),""))</f>
        <v/>
      </c>
      <c r="G243" s="37">
        <f>IF(OR($A243="",$B243=""),"",IFERROR(IF(VLOOKUP($B243,'Job Details'!$A$2:$J$250,6,FALSE)="Weekly",$A243+7,IF(VLOOKUP($B243,'Job Details'!$A$2:$J$250,6,FALSE)="Biweekly",$A243+14,IF(VLOOKUP($B243,'Job Details'!$A$2:$J$250,6,FALSE)="Monthly",$A243+30,""))),""))</f>
        <v/>
      </c>
    </row>
    <row r="244">
      <c r="A244" s="35" t="n"/>
      <c r="D244" s="36">
        <f>IF($C244="","",IFERROR(VLOOKUP($C244,'Services &amp; Rates'!$A$2:$B$30,2,FALSE),""))</f>
        <v/>
      </c>
      <c r="G244" s="37">
        <f>IF(OR($A244="",$B244=""),"",IFERROR(IF(VLOOKUP($B244,'Job Details'!$A$2:$J$250,6,FALSE)="Weekly",$A244+7,IF(VLOOKUP($B244,'Job Details'!$A$2:$J$250,6,FALSE)="Biweekly",$A244+14,IF(VLOOKUP($B244,'Job Details'!$A$2:$J$250,6,FALSE)="Monthly",$A244+30,""))),""))</f>
        <v/>
      </c>
    </row>
    <row r="245">
      <c r="A245" s="35" t="n"/>
      <c r="D245" s="36">
        <f>IF($C245="","",IFERROR(VLOOKUP($C245,'Services &amp; Rates'!$A$2:$B$30,2,FALSE),""))</f>
        <v/>
      </c>
      <c r="G245" s="37">
        <f>IF(OR($A245="",$B245=""),"",IFERROR(IF(VLOOKUP($B245,'Job Details'!$A$2:$J$250,6,FALSE)="Weekly",$A245+7,IF(VLOOKUP($B245,'Job Details'!$A$2:$J$250,6,FALSE)="Biweekly",$A245+14,IF(VLOOKUP($B245,'Job Details'!$A$2:$J$250,6,FALSE)="Monthly",$A245+30,""))),""))</f>
        <v/>
      </c>
    </row>
    <row r="246">
      <c r="A246" s="35" t="n"/>
      <c r="D246" s="36">
        <f>IF($C246="","",IFERROR(VLOOKUP($C246,'Services &amp; Rates'!$A$2:$B$30,2,FALSE),""))</f>
        <v/>
      </c>
      <c r="G246" s="37">
        <f>IF(OR($A246="",$B246=""),"",IFERROR(IF(VLOOKUP($B246,'Job Details'!$A$2:$J$250,6,FALSE)="Weekly",$A246+7,IF(VLOOKUP($B246,'Job Details'!$A$2:$J$250,6,FALSE)="Biweekly",$A246+14,IF(VLOOKUP($B246,'Job Details'!$A$2:$J$250,6,FALSE)="Monthly",$A246+30,""))),""))</f>
        <v/>
      </c>
    </row>
    <row r="247">
      <c r="A247" s="35" t="n"/>
      <c r="D247" s="36">
        <f>IF($C247="","",IFERROR(VLOOKUP($C247,'Services &amp; Rates'!$A$2:$B$30,2,FALSE),""))</f>
        <v/>
      </c>
      <c r="G247" s="37">
        <f>IF(OR($A247="",$B247=""),"",IFERROR(IF(VLOOKUP($B247,'Job Details'!$A$2:$J$250,6,FALSE)="Weekly",$A247+7,IF(VLOOKUP($B247,'Job Details'!$A$2:$J$250,6,FALSE)="Biweekly",$A247+14,IF(VLOOKUP($B247,'Job Details'!$A$2:$J$250,6,FALSE)="Monthly",$A247+30,""))),""))</f>
        <v/>
      </c>
    </row>
    <row r="248">
      <c r="A248" s="35" t="n"/>
      <c r="D248" s="36">
        <f>IF($C248="","",IFERROR(VLOOKUP($C248,'Services &amp; Rates'!$A$2:$B$30,2,FALSE),""))</f>
        <v/>
      </c>
      <c r="G248" s="37">
        <f>IF(OR($A248="",$B248=""),"",IFERROR(IF(VLOOKUP($B248,'Job Details'!$A$2:$J$250,6,FALSE)="Weekly",$A248+7,IF(VLOOKUP($B248,'Job Details'!$A$2:$J$250,6,FALSE)="Biweekly",$A248+14,IF(VLOOKUP($B248,'Job Details'!$A$2:$J$250,6,FALSE)="Monthly",$A248+30,""))),""))</f>
        <v/>
      </c>
    </row>
    <row r="249">
      <c r="A249" s="35" t="n"/>
      <c r="D249" s="36">
        <f>IF($C249="","",IFERROR(VLOOKUP($C249,'Services &amp; Rates'!$A$2:$B$30,2,FALSE),""))</f>
        <v/>
      </c>
      <c r="G249" s="37">
        <f>IF(OR($A249="",$B249=""),"",IFERROR(IF(VLOOKUP($B249,'Job Details'!$A$2:$J$250,6,FALSE)="Weekly",$A249+7,IF(VLOOKUP($B249,'Job Details'!$A$2:$J$250,6,FALSE)="Biweekly",$A249+14,IF(VLOOKUP($B249,'Job Details'!$A$2:$J$250,6,FALSE)="Monthly",$A249+30,""))),""))</f>
        <v/>
      </c>
    </row>
    <row r="250">
      <c r="A250" s="35" t="n"/>
      <c r="D250" s="36">
        <f>IF($C250="","",IFERROR(VLOOKUP($C250,'Services &amp; Rates'!$A$2:$B$30,2,FALSE),""))</f>
        <v/>
      </c>
      <c r="G250" s="37">
        <f>IF(OR($A250="",$B250=""),"",IFERROR(IF(VLOOKUP($B250,'Job Details'!$A$2:$J$250,6,FALSE)="Weekly",$A250+7,IF(VLOOKUP($B250,'Job Details'!$A$2:$J$250,6,FALSE)="Biweekly",$A250+14,IF(VLOOKUP($B250,'Job Details'!$A$2:$J$250,6,FALSE)="Monthly",$A250+30,""))),""))</f>
        <v/>
      </c>
    </row>
  </sheetData>
  <conditionalFormatting sqref="A2:H250">
    <cfRule type="expression" priority="1" dxfId="2" stopIfTrue="1">
      <formula>AND($E2="Done",$F2&lt;&gt;"Yes")</formula>
    </cfRule>
    <cfRule type="expression" priority="2" dxfId="3" stopIfTrue="1">
      <formula>$A2=TODAY()</formula>
    </cfRule>
  </conditionalFormatting>
  <conditionalFormatting sqref="G2:G250">
    <cfRule type="expression" priority="3" dxfId="1">
      <formula>AND(ISNUMBER($G2),$G2&lt;=TODAY())</formula>
    </cfRule>
  </conditionalFormatting>
  <dataValidations count="4">
    <dataValidation sqref="B2:B250" showDropDown="0" showInputMessage="0" showErrorMessage="0" allowBlank="1" type="list">
      <formula1>ClientList</formula1>
    </dataValidation>
    <dataValidation sqref="C2:C250" showDropDown="0" showInputMessage="0" showErrorMessage="0" allowBlank="1" type="list">
      <formula1>ServiceList</formula1>
    </dataValidation>
    <dataValidation sqref="E2:E250" showDropDown="0" showInputMessage="0" showErrorMessage="0" allowBlank="1" type="list">
      <formula1>"Booked,Done,Cancelled"</formula1>
    </dataValidation>
    <dataValidation sqref="F2:F250"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tabColor rgb="006B93B3"/>
    <outlinePr summaryBelow="1" summaryRight="1"/>
    <pageSetUpPr/>
  </sheetPr>
  <dimension ref="A1:J100"/>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13" customWidth="1" min="3" max="3"/>
    <col width="13" customWidth="1" min="4" max="4"/>
    <col width="15" customWidth="1" min="5" max="5"/>
    <col width="15" customWidth="1" min="6" max="6"/>
    <col width="12" customWidth="1" min="7" max="7"/>
    <col width="12" customWidth="1" min="8" max="8"/>
    <col width="11" customWidth="1" min="9" max="9"/>
    <col width="30" customWidth="1" min="10" max="10"/>
  </cols>
  <sheetData>
    <row r="1" ht="26" customHeight="1">
      <c r="A1" s="28" t="inlineStr">
        <is>
          <t>Invoice #</t>
        </is>
      </c>
      <c r="B1" s="28" t="inlineStr">
        <is>
          <t>Client</t>
        </is>
      </c>
      <c r="C1" s="28" t="inlineStr">
        <is>
          <t>Period Start</t>
        </is>
      </c>
      <c r="D1" s="28" t="inlineStr">
        <is>
          <t>Period End</t>
        </is>
      </c>
      <c r="E1" s="28" t="inlineStr">
        <is>
          <t>Invoice Total ($)</t>
        </is>
      </c>
      <c r="F1" s="28" t="inlineStr">
        <is>
          <t>Balance Due ($)</t>
        </is>
      </c>
      <c r="G1" s="28" t="inlineStr">
        <is>
          <t>Date Sent</t>
        </is>
      </c>
      <c r="H1" s="28" t="inlineStr">
        <is>
          <t>Date Paid</t>
        </is>
      </c>
      <c r="I1" s="28" t="inlineStr">
        <is>
          <t>Status</t>
        </is>
      </c>
      <c r="J1" s="28" t="inlineStr">
        <is>
          <t>Notes</t>
        </is>
      </c>
    </row>
    <row r="2">
      <c r="A2" s="29" t="inlineStr">
        <is>
          <t>INV-2001</t>
        </is>
      </c>
      <c r="B2" s="29" t="inlineStr">
        <is>
          <t>Sofia Delgado</t>
        </is>
      </c>
      <c r="C2" s="32">
        <f>TODAY()-40</f>
        <v/>
      </c>
      <c r="D2" s="32">
        <f>TODAY()+1</f>
        <v/>
      </c>
      <c r="E2" s="33">
        <f>IF(OR($B2="",$C2="",$D2=""),"",SUMIFS('Schedule'!$D:$D,'Schedule'!$B:$B,$B2,'Schedule'!$E:$E,"Done",'Schedule'!$A:$A,"&gt;="&amp;$C2,'Schedule'!$A:$A,"&lt;="&amp;$D2))</f>
        <v/>
      </c>
      <c r="F2" s="33">
        <f>IF(OR($B2="",$C2="",$D2=""),"",SUMIFS('Schedule'!$D:$D,'Schedule'!$B:$B,$B2,'Schedule'!$E:$E,"Done",'Schedule'!$A:$A,"&gt;="&amp;$C2,'Schedule'!$A:$A,"&lt;="&amp;$D2,'Schedule'!$F:$F,"&lt;&gt;Yes"))</f>
        <v/>
      </c>
      <c r="G2" s="32">
        <f>TODAY()-30</f>
        <v/>
      </c>
      <c r="H2" s="32">
        <f>TODAY()-25</f>
        <v/>
      </c>
      <c r="I2" s="29" t="inlineStr">
        <is>
          <t>Paid</t>
        </is>
      </c>
      <c r="J2" s="29" t="inlineStr">
        <is>
          <t>SAMPLE ROW — delete me</t>
        </is>
      </c>
    </row>
    <row r="3">
      <c r="A3" s="29" t="inlineStr">
        <is>
          <t>INV-2002</t>
        </is>
      </c>
      <c r="B3" s="29" t="inlineStr">
        <is>
          <t>Marcus Reilly</t>
        </is>
      </c>
      <c r="C3" s="32">
        <f>TODAY()-8</f>
        <v/>
      </c>
      <c r="D3" s="32">
        <f>TODAY()+3</f>
        <v/>
      </c>
      <c r="E3" s="33">
        <f>IF(OR($B3="",$C3="",$D3=""),"",SUMIFS('Schedule'!$D:$D,'Schedule'!$B:$B,$B3,'Schedule'!$E:$E,"Done",'Schedule'!$A:$A,"&gt;="&amp;$C3,'Schedule'!$A:$A,"&lt;="&amp;$D3))</f>
        <v/>
      </c>
      <c r="F3" s="33">
        <f>IF(OR($B3="",$C3="",$D3=""),"",SUMIFS('Schedule'!$D:$D,'Schedule'!$B:$B,$B3,'Schedule'!$E:$E,"Done",'Schedule'!$A:$A,"&gt;="&amp;$C3,'Schedule'!$A:$A,"&lt;="&amp;$D3,'Schedule'!$F:$F,"&lt;&gt;Yes"))</f>
        <v/>
      </c>
      <c r="G3" s="32">
        <f>TODAY()+0</f>
        <v/>
      </c>
      <c r="H3" s="32" t="n"/>
      <c r="I3" s="29" t="inlineStr">
        <is>
          <t>Sent</t>
        </is>
      </c>
      <c r="J3" s="29" t="inlineStr">
        <is>
          <t>SAMPLE ROW — delete me</t>
        </is>
      </c>
    </row>
    <row r="4">
      <c r="A4" s="29" t="inlineStr">
        <is>
          <t>INV-2003</t>
        </is>
      </c>
      <c r="B4" s="29" t="inlineStr">
        <is>
          <t>Priya Nadar</t>
        </is>
      </c>
      <c r="C4" s="32">
        <f>TODAY()-45</f>
        <v/>
      </c>
      <c r="D4" s="32">
        <f>TODAY()-2</f>
        <v/>
      </c>
      <c r="E4" s="33">
        <f>IF(OR($B4="",$C4="",$D4=""),"",SUMIFS('Schedule'!$D:$D,'Schedule'!$B:$B,$B4,'Schedule'!$E:$E,"Done",'Schedule'!$A:$A,"&gt;="&amp;$C4,'Schedule'!$A:$A,"&lt;="&amp;$D4))</f>
        <v/>
      </c>
      <c r="F4" s="33">
        <f>IF(OR($B4="",$C4="",$D4=""),"",SUMIFS('Schedule'!$D:$D,'Schedule'!$B:$B,$B4,'Schedule'!$E:$E,"Done",'Schedule'!$A:$A,"&gt;="&amp;$C4,'Schedule'!$A:$A,"&lt;="&amp;$D4,'Schedule'!$F:$F,"&lt;&gt;Yes"))</f>
        <v/>
      </c>
      <c r="G4" s="32">
        <f>TODAY()-18</f>
        <v/>
      </c>
      <c r="H4" s="32" t="n"/>
      <c r="I4" s="29" t="inlineStr">
        <is>
          <t>Overdue</t>
        </is>
      </c>
      <c r="J4" s="29" t="inlineStr">
        <is>
          <t>SAMPLE ROW — delete me</t>
        </is>
      </c>
    </row>
    <row r="5">
      <c r="C5" s="35" t="n"/>
      <c r="D5" s="35" t="n"/>
      <c r="E5" s="36">
        <f>IF(OR($B5="",$C5="",$D5=""),"",SUMIFS('Schedule'!$D:$D,'Schedule'!$B:$B,$B5,'Schedule'!$E:$E,"Done",'Schedule'!$A:$A,"&gt;="&amp;$C5,'Schedule'!$A:$A,"&lt;="&amp;$D5))</f>
        <v/>
      </c>
      <c r="F5" s="36">
        <f>IF(OR($B5="",$C5="",$D5=""),"",SUMIFS('Schedule'!$D:$D,'Schedule'!$B:$B,$B5,'Schedule'!$E:$E,"Done",'Schedule'!$A:$A,"&gt;="&amp;$C5,'Schedule'!$A:$A,"&lt;="&amp;$D5,'Schedule'!$F:$F,"&lt;&gt;Yes"))</f>
        <v/>
      </c>
      <c r="G5" s="35" t="n"/>
      <c r="H5" s="35" t="n"/>
    </row>
    <row r="6">
      <c r="C6" s="35" t="n"/>
      <c r="D6" s="35" t="n"/>
      <c r="E6" s="36">
        <f>IF(OR($B6="",$C6="",$D6=""),"",SUMIFS('Schedule'!$D:$D,'Schedule'!$B:$B,$B6,'Schedule'!$E:$E,"Done",'Schedule'!$A:$A,"&gt;="&amp;$C6,'Schedule'!$A:$A,"&lt;="&amp;$D6))</f>
        <v/>
      </c>
      <c r="F6" s="36">
        <f>IF(OR($B6="",$C6="",$D6=""),"",SUMIFS('Schedule'!$D:$D,'Schedule'!$B:$B,$B6,'Schedule'!$E:$E,"Done",'Schedule'!$A:$A,"&gt;="&amp;$C6,'Schedule'!$A:$A,"&lt;="&amp;$D6,'Schedule'!$F:$F,"&lt;&gt;Yes"))</f>
        <v/>
      </c>
      <c r="G6" s="35" t="n"/>
      <c r="H6" s="35" t="n"/>
    </row>
    <row r="7">
      <c r="C7" s="35" t="n"/>
      <c r="D7" s="35" t="n"/>
      <c r="E7" s="36">
        <f>IF(OR($B7="",$C7="",$D7=""),"",SUMIFS('Schedule'!$D:$D,'Schedule'!$B:$B,$B7,'Schedule'!$E:$E,"Done",'Schedule'!$A:$A,"&gt;="&amp;$C7,'Schedule'!$A:$A,"&lt;="&amp;$D7))</f>
        <v/>
      </c>
      <c r="F7" s="36">
        <f>IF(OR($B7="",$C7="",$D7=""),"",SUMIFS('Schedule'!$D:$D,'Schedule'!$B:$B,$B7,'Schedule'!$E:$E,"Done",'Schedule'!$A:$A,"&gt;="&amp;$C7,'Schedule'!$A:$A,"&lt;="&amp;$D7,'Schedule'!$F:$F,"&lt;&gt;Yes"))</f>
        <v/>
      </c>
      <c r="G7" s="35" t="n"/>
      <c r="H7" s="35" t="n"/>
    </row>
    <row r="8">
      <c r="C8" s="35" t="n"/>
      <c r="D8" s="35" t="n"/>
      <c r="E8" s="36">
        <f>IF(OR($B8="",$C8="",$D8=""),"",SUMIFS('Schedule'!$D:$D,'Schedule'!$B:$B,$B8,'Schedule'!$E:$E,"Done",'Schedule'!$A:$A,"&gt;="&amp;$C8,'Schedule'!$A:$A,"&lt;="&amp;$D8))</f>
        <v/>
      </c>
      <c r="F8" s="36">
        <f>IF(OR($B8="",$C8="",$D8=""),"",SUMIFS('Schedule'!$D:$D,'Schedule'!$B:$B,$B8,'Schedule'!$E:$E,"Done",'Schedule'!$A:$A,"&gt;="&amp;$C8,'Schedule'!$A:$A,"&lt;="&amp;$D8,'Schedule'!$F:$F,"&lt;&gt;Yes"))</f>
        <v/>
      </c>
      <c r="G8" s="35" t="n"/>
      <c r="H8" s="35" t="n"/>
    </row>
    <row r="9">
      <c r="C9" s="35" t="n"/>
      <c r="D9" s="35" t="n"/>
      <c r="E9" s="36">
        <f>IF(OR($B9="",$C9="",$D9=""),"",SUMIFS('Schedule'!$D:$D,'Schedule'!$B:$B,$B9,'Schedule'!$E:$E,"Done",'Schedule'!$A:$A,"&gt;="&amp;$C9,'Schedule'!$A:$A,"&lt;="&amp;$D9))</f>
        <v/>
      </c>
      <c r="F9" s="36">
        <f>IF(OR($B9="",$C9="",$D9=""),"",SUMIFS('Schedule'!$D:$D,'Schedule'!$B:$B,$B9,'Schedule'!$E:$E,"Done",'Schedule'!$A:$A,"&gt;="&amp;$C9,'Schedule'!$A:$A,"&lt;="&amp;$D9,'Schedule'!$F:$F,"&lt;&gt;Yes"))</f>
        <v/>
      </c>
      <c r="G9" s="35" t="n"/>
      <c r="H9" s="35" t="n"/>
    </row>
    <row r="10">
      <c r="C10" s="35" t="n"/>
      <c r="D10" s="35" t="n"/>
      <c r="E10" s="36">
        <f>IF(OR($B10="",$C10="",$D10=""),"",SUMIFS('Schedule'!$D:$D,'Schedule'!$B:$B,$B10,'Schedule'!$E:$E,"Done",'Schedule'!$A:$A,"&gt;="&amp;$C10,'Schedule'!$A:$A,"&lt;="&amp;$D10))</f>
        <v/>
      </c>
      <c r="F10" s="36">
        <f>IF(OR($B10="",$C10="",$D10=""),"",SUMIFS('Schedule'!$D:$D,'Schedule'!$B:$B,$B10,'Schedule'!$E:$E,"Done",'Schedule'!$A:$A,"&gt;="&amp;$C10,'Schedule'!$A:$A,"&lt;="&amp;$D10,'Schedule'!$F:$F,"&lt;&gt;Yes"))</f>
        <v/>
      </c>
      <c r="G10" s="35" t="n"/>
      <c r="H10" s="35" t="n"/>
    </row>
    <row r="11">
      <c r="C11" s="35" t="n"/>
      <c r="D11" s="35" t="n"/>
      <c r="E11" s="36">
        <f>IF(OR($B11="",$C11="",$D11=""),"",SUMIFS('Schedule'!$D:$D,'Schedule'!$B:$B,$B11,'Schedule'!$E:$E,"Done",'Schedule'!$A:$A,"&gt;="&amp;$C11,'Schedule'!$A:$A,"&lt;="&amp;$D11))</f>
        <v/>
      </c>
      <c r="F11" s="36">
        <f>IF(OR($B11="",$C11="",$D11=""),"",SUMIFS('Schedule'!$D:$D,'Schedule'!$B:$B,$B11,'Schedule'!$E:$E,"Done",'Schedule'!$A:$A,"&gt;="&amp;$C11,'Schedule'!$A:$A,"&lt;="&amp;$D11,'Schedule'!$F:$F,"&lt;&gt;Yes"))</f>
        <v/>
      </c>
      <c r="G11" s="35" t="n"/>
      <c r="H11" s="35" t="n"/>
    </row>
    <row r="12">
      <c r="C12" s="35" t="n"/>
      <c r="D12" s="35" t="n"/>
      <c r="E12" s="36">
        <f>IF(OR($B12="",$C12="",$D12=""),"",SUMIFS('Schedule'!$D:$D,'Schedule'!$B:$B,$B12,'Schedule'!$E:$E,"Done",'Schedule'!$A:$A,"&gt;="&amp;$C12,'Schedule'!$A:$A,"&lt;="&amp;$D12))</f>
        <v/>
      </c>
      <c r="F12" s="36">
        <f>IF(OR($B12="",$C12="",$D12=""),"",SUMIFS('Schedule'!$D:$D,'Schedule'!$B:$B,$B12,'Schedule'!$E:$E,"Done",'Schedule'!$A:$A,"&gt;="&amp;$C12,'Schedule'!$A:$A,"&lt;="&amp;$D12,'Schedule'!$F:$F,"&lt;&gt;Yes"))</f>
        <v/>
      </c>
      <c r="G12" s="35" t="n"/>
      <c r="H12" s="35" t="n"/>
    </row>
    <row r="13">
      <c r="C13" s="35" t="n"/>
      <c r="D13" s="35" t="n"/>
      <c r="E13" s="36">
        <f>IF(OR($B13="",$C13="",$D13=""),"",SUMIFS('Schedule'!$D:$D,'Schedule'!$B:$B,$B13,'Schedule'!$E:$E,"Done",'Schedule'!$A:$A,"&gt;="&amp;$C13,'Schedule'!$A:$A,"&lt;="&amp;$D13))</f>
        <v/>
      </c>
      <c r="F13" s="36">
        <f>IF(OR($B13="",$C13="",$D13=""),"",SUMIFS('Schedule'!$D:$D,'Schedule'!$B:$B,$B13,'Schedule'!$E:$E,"Done",'Schedule'!$A:$A,"&gt;="&amp;$C13,'Schedule'!$A:$A,"&lt;="&amp;$D13,'Schedule'!$F:$F,"&lt;&gt;Yes"))</f>
        <v/>
      </c>
      <c r="G13" s="35" t="n"/>
      <c r="H13" s="35" t="n"/>
    </row>
    <row r="14">
      <c r="C14" s="35" t="n"/>
      <c r="D14" s="35" t="n"/>
      <c r="E14" s="36">
        <f>IF(OR($B14="",$C14="",$D14=""),"",SUMIFS('Schedule'!$D:$D,'Schedule'!$B:$B,$B14,'Schedule'!$E:$E,"Done",'Schedule'!$A:$A,"&gt;="&amp;$C14,'Schedule'!$A:$A,"&lt;="&amp;$D14))</f>
        <v/>
      </c>
      <c r="F14" s="36">
        <f>IF(OR($B14="",$C14="",$D14=""),"",SUMIFS('Schedule'!$D:$D,'Schedule'!$B:$B,$B14,'Schedule'!$E:$E,"Done",'Schedule'!$A:$A,"&gt;="&amp;$C14,'Schedule'!$A:$A,"&lt;="&amp;$D14,'Schedule'!$F:$F,"&lt;&gt;Yes"))</f>
        <v/>
      </c>
      <c r="G14" s="35" t="n"/>
      <c r="H14" s="35" t="n"/>
    </row>
    <row r="15">
      <c r="C15" s="35" t="n"/>
      <c r="D15" s="35" t="n"/>
      <c r="E15" s="36">
        <f>IF(OR($B15="",$C15="",$D15=""),"",SUMIFS('Schedule'!$D:$D,'Schedule'!$B:$B,$B15,'Schedule'!$E:$E,"Done",'Schedule'!$A:$A,"&gt;="&amp;$C15,'Schedule'!$A:$A,"&lt;="&amp;$D15))</f>
        <v/>
      </c>
      <c r="F15" s="36">
        <f>IF(OR($B15="",$C15="",$D15=""),"",SUMIFS('Schedule'!$D:$D,'Schedule'!$B:$B,$B15,'Schedule'!$E:$E,"Done",'Schedule'!$A:$A,"&gt;="&amp;$C15,'Schedule'!$A:$A,"&lt;="&amp;$D15,'Schedule'!$F:$F,"&lt;&gt;Yes"))</f>
        <v/>
      </c>
      <c r="G15" s="35" t="n"/>
      <c r="H15" s="35" t="n"/>
    </row>
    <row r="16">
      <c r="C16" s="35" t="n"/>
      <c r="D16" s="35" t="n"/>
      <c r="E16" s="36">
        <f>IF(OR($B16="",$C16="",$D16=""),"",SUMIFS('Schedule'!$D:$D,'Schedule'!$B:$B,$B16,'Schedule'!$E:$E,"Done",'Schedule'!$A:$A,"&gt;="&amp;$C16,'Schedule'!$A:$A,"&lt;="&amp;$D16))</f>
        <v/>
      </c>
      <c r="F16" s="36">
        <f>IF(OR($B16="",$C16="",$D16=""),"",SUMIFS('Schedule'!$D:$D,'Schedule'!$B:$B,$B16,'Schedule'!$E:$E,"Done",'Schedule'!$A:$A,"&gt;="&amp;$C16,'Schedule'!$A:$A,"&lt;="&amp;$D16,'Schedule'!$F:$F,"&lt;&gt;Yes"))</f>
        <v/>
      </c>
      <c r="G16" s="35" t="n"/>
      <c r="H16" s="35" t="n"/>
    </row>
    <row r="17">
      <c r="C17" s="35" t="n"/>
      <c r="D17" s="35" t="n"/>
      <c r="E17" s="36">
        <f>IF(OR($B17="",$C17="",$D17=""),"",SUMIFS('Schedule'!$D:$D,'Schedule'!$B:$B,$B17,'Schedule'!$E:$E,"Done",'Schedule'!$A:$A,"&gt;="&amp;$C17,'Schedule'!$A:$A,"&lt;="&amp;$D17))</f>
        <v/>
      </c>
      <c r="F17" s="36">
        <f>IF(OR($B17="",$C17="",$D17=""),"",SUMIFS('Schedule'!$D:$D,'Schedule'!$B:$B,$B17,'Schedule'!$E:$E,"Done",'Schedule'!$A:$A,"&gt;="&amp;$C17,'Schedule'!$A:$A,"&lt;="&amp;$D17,'Schedule'!$F:$F,"&lt;&gt;Yes"))</f>
        <v/>
      </c>
      <c r="G17" s="35" t="n"/>
      <c r="H17" s="35" t="n"/>
    </row>
    <row r="18">
      <c r="C18" s="35" t="n"/>
      <c r="D18" s="35" t="n"/>
      <c r="E18" s="36">
        <f>IF(OR($B18="",$C18="",$D18=""),"",SUMIFS('Schedule'!$D:$D,'Schedule'!$B:$B,$B18,'Schedule'!$E:$E,"Done",'Schedule'!$A:$A,"&gt;="&amp;$C18,'Schedule'!$A:$A,"&lt;="&amp;$D18))</f>
        <v/>
      </c>
      <c r="F18" s="36">
        <f>IF(OR($B18="",$C18="",$D18=""),"",SUMIFS('Schedule'!$D:$D,'Schedule'!$B:$B,$B18,'Schedule'!$E:$E,"Done",'Schedule'!$A:$A,"&gt;="&amp;$C18,'Schedule'!$A:$A,"&lt;="&amp;$D18,'Schedule'!$F:$F,"&lt;&gt;Yes"))</f>
        <v/>
      </c>
      <c r="G18" s="35" t="n"/>
      <c r="H18" s="35" t="n"/>
    </row>
    <row r="19">
      <c r="C19" s="35" t="n"/>
      <c r="D19" s="35" t="n"/>
      <c r="E19" s="36">
        <f>IF(OR($B19="",$C19="",$D19=""),"",SUMIFS('Schedule'!$D:$D,'Schedule'!$B:$B,$B19,'Schedule'!$E:$E,"Done",'Schedule'!$A:$A,"&gt;="&amp;$C19,'Schedule'!$A:$A,"&lt;="&amp;$D19))</f>
        <v/>
      </c>
      <c r="F19" s="36">
        <f>IF(OR($B19="",$C19="",$D19=""),"",SUMIFS('Schedule'!$D:$D,'Schedule'!$B:$B,$B19,'Schedule'!$E:$E,"Done",'Schedule'!$A:$A,"&gt;="&amp;$C19,'Schedule'!$A:$A,"&lt;="&amp;$D19,'Schedule'!$F:$F,"&lt;&gt;Yes"))</f>
        <v/>
      </c>
      <c r="G19" s="35" t="n"/>
      <c r="H19" s="35" t="n"/>
    </row>
    <row r="20">
      <c r="C20" s="35" t="n"/>
      <c r="D20" s="35" t="n"/>
      <c r="E20" s="36">
        <f>IF(OR($B20="",$C20="",$D20=""),"",SUMIFS('Schedule'!$D:$D,'Schedule'!$B:$B,$B20,'Schedule'!$E:$E,"Done",'Schedule'!$A:$A,"&gt;="&amp;$C20,'Schedule'!$A:$A,"&lt;="&amp;$D20))</f>
        <v/>
      </c>
      <c r="F20" s="36">
        <f>IF(OR($B20="",$C20="",$D20=""),"",SUMIFS('Schedule'!$D:$D,'Schedule'!$B:$B,$B20,'Schedule'!$E:$E,"Done",'Schedule'!$A:$A,"&gt;="&amp;$C20,'Schedule'!$A:$A,"&lt;="&amp;$D20,'Schedule'!$F:$F,"&lt;&gt;Yes"))</f>
        <v/>
      </c>
      <c r="G20" s="35" t="n"/>
      <c r="H20" s="35" t="n"/>
    </row>
    <row r="21">
      <c r="C21" s="35" t="n"/>
      <c r="D21" s="35" t="n"/>
      <c r="E21" s="36">
        <f>IF(OR($B21="",$C21="",$D21=""),"",SUMIFS('Schedule'!$D:$D,'Schedule'!$B:$B,$B21,'Schedule'!$E:$E,"Done",'Schedule'!$A:$A,"&gt;="&amp;$C21,'Schedule'!$A:$A,"&lt;="&amp;$D21))</f>
        <v/>
      </c>
      <c r="F21" s="36">
        <f>IF(OR($B21="",$C21="",$D21=""),"",SUMIFS('Schedule'!$D:$D,'Schedule'!$B:$B,$B21,'Schedule'!$E:$E,"Done",'Schedule'!$A:$A,"&gt;="&amp;$C21,'Schedule'!$A:$A,"&lt;="&amp;$D21,'Schedule'!$F:$F,"&lt;&gt;Yes"))</f>
        <v/>
      </c>
      <c r="G21" s="35" t="n"/>
      <c r="H21" s="35" t="n"/>
    </row>
    <row r="22">
      <c r="C22" s="35" t="n"/>
      <c r="D22" s="35" t="n"/>
      <c r="E22" s="36">
        <f>IF(OR($B22="",$C22="",$D22=""),"",SUMIFS('Schedule'!$D:$D,'Schedule'!$B:$B,$B22,'Schedule'!$E:$E,"Done",'Schedule'!$A:$A,"&gt;="&amp;$C22,'Schedule'!$A:$A,"&lt;="&amp;$D22))</f>
        <v/>
      </c>
      <c r="F22" s="36">
        <f>IF(OR($B22="",$C22="",$D22=""),"",SUMIFS('Schedule'!$D:$D,'Schedule'!$B:$B,$B22,'Schedule'!$E:$E,"Done",'Schedule'!$A:$A,"&gt;="&amp;$C22,'Schedule'!$A:$A,"&lt;="&amp;$D22,'Schedule'!$F:$F,"&lt;&gt;Yes"))</f>
        <v/>
      </c>
      <c r="G22" s="35" t="n"/>
      <c r="H22" s="35" t="n"/>
    </row>
    <row r="23">
      <c r="C23" s="35" t="n"/>
      <c r="D23" s="35" t="n"/>
      <c r="E23" s="36">
        <f>IF(OR($B23="",$C23="",$D23=""),"",SUMIFS('Schedule'!$D:$D,'Schedule'!$B:$B,$B23,'Schedule'!$E:$E,"Done",'Schedule'!$A:$A,"&gt;="&amp;$C23,'Schedule'!$A:$A,"&lt;="&amp;$D23))</f>
        <v/>
      </c>
      <c r="F23" s="36">
        <f>IF(OR($B23="",$C23="",$D23=""),"",SUMIFS('Schedule'!$D:$D,'Schedule'!$B:$B,$B23,'Schedule'!$E:$E,"Done",'Schedule'!$A:$A,"&gt;="&amp;$C23,'Schedule'!$A:$A,"&lt;="&amp;$D23,'Schedule'!$F:$F,"&lt;&gt;Yes"))</f>
        <v/>
      </c>
      <c r="G23" s="35" t="n"/>
      <c r="H23" s="35" t="n"/>
    </row>
    <row r="24">
      <c r="C24" s="35" t="n"/>
      <c r="D24" s="35" t="n"/>
      <c r="E24" s="36">
        <f>IF(OR($B24="",$C24="",$D24=""),"",SUMIFS('Schedule'!$D:$D,'Schedule'!$B:$B,$B24,'Schedule'!$E:$E,"Done",'Schedule'!$A:$A,"&gt;="&amp;$C24,'Schedule'!$A:$A,"&lt;="&amp;$D24))</f>
        <v/>
      </c>
      <c r="F24" s="36">
        <f>IF(OR($B24="",$C24="",$D24=""),"",SUMIFS('Schedule'!$D:$D,'Schedule'!$B:$B,$B24,'Schedule'!$E:$E,"Done",'Schedule'!$A:$A,"&gt;="&amp;$C24,'Schedule'!$A:$A,"&lt;="&amp;$D24,'Schedule'!$F:$F,"&lt;&gt;Yes"))</f>
        <v/>
      </c>
      <c r="G24" s="35" t="n"/>
      <c r="H24" s="35" t="n"/>
    </row>
    <row r="25">
      <c r="C25" s="35" t="n"/>
      <c r="D25" s="35" t="n"/>
      <c r="E25" s="36">
        <f>IF(OR($B25="",$C25="",$D25=""),"",SUMIFS('Schedule'!$D:$D,'Schedule'!$B:$B,$B25,'Schedule'!$E:$E,"Done",'Schedule'!$A:$A,"&gt;="&amp;$C25,'Schedule'!$A:$A,"&lt;="&amp;$D25))</f>
        <v/>
      </c>
      <c r="F25" s="36">
        <f>IF(OR($B25="",$C25="",$D25=""),"",SUMIFS('Schedule'!$D:$D,'Schedule'!$B:$B,$B25,'Schedule'!$E:$E,"Done",'Schedule'!$A:$A,"&gt;="&amp;$C25,'Schedule'!$A:$A,"&lt;="&amp;$D25,'Schedule'!$F:$F,"&lt;&gt;Yes"))</f>
        <v/>
      </c>
      <c r="G25" s="35" t="n"/>
      <c r="H25" s="35" t="n"/>
    </row>
    <row r="26">
      <c r="C26" s="35" t="n"/>
      <c r="D26" s="35" t="n"/>
      <c r="E26" s="36">
        <f>IF(OR($B26="",$C26="",$D26=""),"",SUMIFS('Schedule'!$D:$D,'Schedule'!$B:$B,$B26,'Schedule'!$E:$E,"Done",'Schedule'!$A:$A,"&gt;="&amp;$C26,'Schedule'!$A:$A,"&lt;="&amp;$D26))</f>
        <v/>
      </c>
      <c r="F26" s="36">
        <f>IF(OR($B26="",$C26="",$D26=""),"",SUMIFS('Schedule'!$D:$D,'Schedule'!$B:$B,$B26,'Schedule'!$E:$E,"Done",'Schedule'!$A:$A,"&gt;="&amp;$C26,'Schedule'!$A:$A,"&lt;="&amp;$D26,'Schedule'!$F:$F,"&lt;&gt;Yes"))</f>
        <v/>
      </c>
      <c r="G26" s="35" t="n"/>
      <c r="H26" s="35" t="n"/>
    </row>
    <row r="27">
      <c r="C27" s="35" t="n"/>
      <c r="D27" s="35" t="n"/>
      <c r="E27" s="36">
        <f>IF(OR($B27="",$C27="",$D27=""),"",SUMIFS('Schedule'!$D:$D,'Schedule'!$B:$B,$B27,'Schedule'!$E:$E,"Done",'Schedule'!$A:$A,"&gt;="&amp;$C27,'Schedule'!$A:$A,"&lt;="&amp;$D27))</f>
        <v/>
      </c>
      <c r="F27" s="36">
        <f>IF(OR($B27="",$C27="",$D27=""),"",SUMIFS('Schedule'!$D:$D,'Schedule'!$B:$B,$B27,'Schedule'!$E:$E,"Done",'Schedule'!$A:$A,"&gt;="&amp;$C27,'Schedule'!$A:$A,"&lt;="&amp;$D27,'Schedule'!$F:$F,"&lt;&gt;Yes"))</f>
        <v/>
      </c>
      <c r="G27" s="35" t="n"/>
      <c r="H27" s="35" t="n"/>
    </row>
    <row r="28">
      <c r="C28" s="35" t="n"/>
      <c r="D28" s="35" t="n"/>
      <c r="E28" s="36">
        <f>IF(OR($B28="",$C28="",$D28=""),"",SUMIFS('Schedule'!$D:$D,'Schedule'!$B:$B,$B28,'Schedule'!$E:$E,"Done",'Schedule'!$A:$A,"&gt;="&amp;$C28,'Schedule'!$A:$A,"&lt;="&amp;$D28))</f>
        <v/>
      </c>
      <c r="F28" s="36">
        <f>IF(OR($B28="",$C28="",$D28=""),"",SUMIFS('Schedule'!$D:$D,'Schedule'!$B:$B,$B28,'Schedule'!$E:$E,"Done",'Schedule'!$A:$A,"&gt;="&amp;$C28,'Schedule'!$A:$A,"&lt;="&amp;$D28,'Schedule'!$F:$F,"&lt;&gt;Yes"))</f>
        <v/>
      </c>
      <c r="G28" s="35" t="n"/>
      <c r="H28" s="35" t="n"/>
    </row>
    <row r="29">
      <c r="C29" s="35" t="n"/>
      <c r="D29" s="35" t="n"/>
      <c r="E29" s="36">
        <f>IF(OR($B29="",$C29="",$D29=""),"",SUMIFS('Schedule'!$D:$D,'Schedule'!$B:$B,$B29,'Schedule'!$E:$E,"Done",'Schedule'!$A:$A,"&gt;="&amp;$C29,'Schedule'!$A:$A,"&lt;="&amp;$D29))</f>
        <v/>
      </c>
      <c r="F29" s="36">
        <f>IF(OR($B29="",$C29="",$D29=""),"",SUMIFS('Schedule'!$D:$D,'Schedule'!$B:$B,$B29,'Schedule'!$E:$E,"Done",'Schedule'!$A:$A,"&gt;="&amp;$C29,'Schedule'!$A:$A,"&lt;="&amp;$D29,'Schedule'!$F:$F,"&lt;&gt;Yes"))</f>
        <v/>
      </c>
      <c r="G29" s="35" t="n"/>
      <c r="H29" s="35" t="n"/>
    </row>
    <row r="30">
      <c r="C30" s="35" t="n"/>
      <c r="D30" s="35" t="n"/>
      <c r="E30" s="36">
        <f>IF(OR($B30="",$C30="",$D30=""),"",SUMIFS('Schedule'!$D:$D,'Schedule'!$B:$B,$B30,'Schedule'!$E:$E,"Done",'Schedule'!$A:$A,"&gt;="&amp;$C30,'Schedule'!$A:$A,"&lt;="&amp;$D30))</f>
        <v/>
      </c>
      <c r="F30" s="36">
        <f>IF(OR($B30="",$C30="",$D30=""),"",SUMIFS('Schedule'!$D:$D,'Schedule'!$B:$B,$B30,'Schedule'!$E:$E,"Done",'Schedule'!$A:$A,"&gt;="&amp;$C30,'Schedule'!$A:$A,"&lt;="&amp;$D30,'Schedule'!$F:$F,"&lt;&gt;Yes"))</f>
        <v/>
      </c>
      <c r="G30" s="35" t="n"/>
      <c r="H30" s="35" t="n"/>
    </row>
    <row r="31">
      <c r="C31" s="35" t="n"/>
      <c r="D31" s="35" t="n"/>
      <c r="E31" s="36">
        <f>IF(OR($B31="",$C31="",$D31=""),"",SUMIFS('Schedule'!$D:$D,'Schedule'!$B:$B,$B31,'Schedule'!$E:$E,"Done",'Schedule'!$A:$A,"&gt;="&amp;$C31,'Schedule'!$A:$A,"&lt;="&amp;$D31))</f>
        <v/>
      </c>
      <c r="F31" s="36">
        <f>IF(OR($B31="",$C31="",$D31=""),"",SUMIFS('Schedule'!$D:$D,'Schedule'!$B:$B,$B31,'Schedule'!$E:$E,"Done",'Schedule'!$A:$A,"&gt;="&amp;$C31,'Schedule'!$A:$A,"&lt;="&amp;$D31,'Schedule'!$F:$F,"&lt;&gt;Yes"))</f>
        <v/>
      </c>
      <c r="G31" s="35" t="n"/>
      <c r="H31" s="35" t="n"/>
    </row>
    <row r="32">
      <c r="C32" s="35" t="n"/>
      <c r="D32" s="35" t="n"/>
      <c r="E32" s="36">
        <f>IF(OR($B32="",$C32="",$D32=""),"",SUMIFS('Schedule'!$D:$D,'Schedule'!$B:$B,$B32,'Schedule'!$E:$E,"Done",'Schedule'!$A:$A,"&gt;="&amp;$C32,'Schedule'!$A:$A,"&lt;="&amp;$D32))</f>
        <v/>
      </c>
      <c r="F32" s="36">
        <f>IF(OR($B32="",$C32="",$D32=""),"",SUMIFS('Schedule'!$D:$D,'Schedule'!$B:$B,$B32,'Schedule'!$E:$E,"Done",'Schedule'!$A:$A,"&gt;="&amp;$C32,'Schedule'!$A:$A,"&lt;="&amp;$D32,'Schedule'!$F:$F,"&lt;&gt;Yes"))</f>
        <v/>
      </c>
      <c r="G32" s="35" t="n"/>
      <c r="H32" s="35" t="n"/>
    </row>
    <row r="33">
      <c r="C33" s="35" t="n"/>
      <c r="D33" s="35" t="n"/>
      <c r="E33" s="36">
        <f>IF(OR($B33="",$C33="",$D33=""),"",SUMIFS('Schedule'!$D:$D,'Schedule'!$B:$B,$B33,'Schedule'!$E:$E,"Done",'Schedule'!$A:$A,"&gt;="&amp;$C33,'Schedule'!$A:$A,"&lt;="&amp;$D33))</f>
        <v/>
      </c>
      <c r="F33" s="36">
        <f>IF(OR($B33="",$C33="",$D33=""),"",SUMIFS('Schedule'!$D:$D,'Schedule'!$B:$B,$B33,'Schedule'!$E:$E,"Done",'Schedule'!$A:$A,"&gt;="&amp;$C33,'Schedule'!$A:$A,"&lt;="&amp;$D33,'Schedule'!$F:$F,"&lt;&gt;Yes"))</f>
        <v/>
      </c>
      <c r="G33" s="35" t="n"/>
      <c r="H33" s="35" t="n"/>
    </row>
    <row r="34">
      <c r="C34" s="35" t="n"/>
      <c r="D34" s="35" t="n"/>
      <c r="E34" s="36">
        <f>IF(OR($B34="",$C34="",$D34=""),"",SUMIFS('Schedule'!$D:$D,'Schedule'!$B:$B,$B34,'Schedule'!$E:$E,"Done",'Schedule'!$A:$A,"&gt;="&amp;$C34,'Schedule'!$A:$A,"&lt;="&amp;$D34))</f>
        <v/>
      </c>
      <c r="F34" s="36">
        <f>IF(OR($B34="",$C34="",$D34=""),"",SUMIFS('Schedule'!$D:$D,'Schedule'!$B:$B,$B34,'Schedule'!$E:$E,"Done",'Schedule'!$A:$A,"&gt;="&amp;$C34,'Schedule'!$A:$A,"&lt;="&amp;$D34,'Schedule'!$F:$F,"&lt;&gt;Yes"))</f>
        <v/>
      </c>
      <c r="G34" s="35" t="n"/>
      <c r="H34" s="35" t="n"/>
    </row>
    <row r="35">
      <c r="C35" s="35" t="n"/>
      <c r="D35" s="35" t="n"/>
      <c r="E35" s="36">
        <f>IF(OR($B35="",$C35="",$D35=""),"",SUMIFS('Schedule'!$D:$D,'Schedule'!$B:$B,$B35,'Schedule'!$E:$E,"Done",'Schedule'!$A:$A,"&gt;="&amp;$C35,'Schedule'!$A:$A,"&lt;="&amp;$D35))</f>
        <v/>
      </c>
      <c r="F35" s="36">
        <f>IF(OR($B35="",$C35="",$D35=""),"",SUMIFS('Schedule'!$D:$D,'Schedule'!$B:$B,$B35,'Schedule'!$E:$E,"Done",'Schedule'!$A:$A,"&gt;="&amp;$C35,'Schedule'!$A:$A,"&lt;="&amp;$D35,'Schedule'!$F:$F,"&lt;&gt;Yes"))</f>
        <v/>
      </c>
      <c r="G35" s="35" t="n"/>
      <c r="H35" s="35" t="n"/>
    </row>
    <row r="36">
      <c r="C36" s="35" t="n"/>
      <c r="D36" s="35" t="n"/>
      <c r="E36" s="36">
        <f>IF(OR($B36="",$C36="",$D36=""),"",SUMIFS('Schedule'!$D:$D,'Schedule'!$B:$B,$B36,'Schedule'!$E:$E,"Done",'Schedule'!$A:$A,"&gt;="&amp;$C36,'Schedule'!$A:$A,"&lt;="&amp;$D36))</f>
        <v/>
      </c>
      <c r="F36" s="36">
        <f>IF(OR($B36="",$C36="",$D36=""),"",SUMIFS('Schedule'!$D:$D,'Schedule'!$B:$B,$B36,'Schedule'!$E:$E,"Done",'Schedule'!$A:$A,"&gt;="&amp;$C36,'Schedule'!$A:$A,"&lt;="&amp;$D36,'Schedule'!$F:$F,"&lt;&gt;Yes"))</f>
        <v/>
      </c>
      <c r="G36" s="35" t="n"/>
      <c r="H36" s="35" t="n"/>
    </row>
    <row r="37">
      <c r="C37" s="35" t="n"/>
      <c r="D37" s="35" t="n"/>
      <c r="E37" s="36">
        <f>IF(OR($B37="",$C37="",$D37=""),"",SUMIFS('Schedule'!$D:$D,'Schedule'!$B:$B,$B37,'Schedule'!$E:$E,"Done",'Schedule'!$A:$A,"&gt;="&amp;$C37,'Schedule'!$A:$A,"&lt;="&amp;$D37))</f>
        <v/>
      </c>
      <c r="F37" s="36">
        <f>IF(OR($B37="",$C37="",$D37=""),"",SUMIFS('Schedule'!$D:$D,'Schedule'!$B:$B,$B37,'Schedule'!$E:$E,"Done",'Schedule'!$A:$A,"&gt;="&amp;$C37,'Schedule'!$A:$A,"&lt;="&amp;$D37,'Schedule'!$F:$F,"&lt;&gt;Yes"))</f>
        <v/>
      </c>
      <c r="G37" s="35" t="n"/>
      <c r="H37" s="35" t="n"/>
    </row>
    <row r="38">
      <c r="C38" s="35" t="n"/>
      <c r="D38" s="35" t="n"/>
      <c r="E38" s="36">
        <f>IF(OR($B38="",$C38="",$D38=""),"",SUMIFS('Schedule'!$D:$D,'Schedule'!$B:$B,$B38,'Schedule'!$E:$E,"Done",'Schedule'!$A:$A,"&gt;="&amp;$C38,'Schedule'!$A:$A,"&lt;="&amp;$D38))</f>
        <v/>
      </c>
      <c r="F38" s="36">
        <f>IF(OR($B38="",$C38="",$D38=""),"",SUMIFS('Schedule'!$D:$D,'Schedule'!$B:$B,$B38,'Schedule'!$E:$E,"Done",'Schedule'!$A:$A,"&gt;="&amp;$C38,'Schedule'!$A:$A,"&lt;="&amp;$D38,'Schedule'!$F:$F,"&lt;&gt;Yes"))</f>
        <v/>
      </c>
      <c r="G38" s="35" t="n"/>
      <c r="H38" s="35" t="n"/>
    </row>
    <row r="39">
      <c r="C39" s="35" t="n"/>
      <c r="D39" s="35" t="n"/>
      <c r="E39" s="36">
        <f>IF(OR($B39="",$C39="",$D39=""),"",SUMIFS('Schedule'!$D:$D,'Schedule'!$B:$B,$B39,'Schedule'!$E:$E,"Done",'Schedule'!$A:$A,"&gt;="&amp;$C39,'Schedule'!$A:$A,"&lt;="&amp;$D39))</f>
        <v/>
      </c>
      <c r="F39" s="36">
        <f>IF(OR($B39="",$C39="",$D39=""),"",SUMIFS('Schedule'!$D:$D,'Schedule'!$B:$B,$B39,'Schedule'!$E:$E,"Done",'Schedule'!$A:$A,"&gt;="&amp;$C39,'Schedule'!$A:$A,"&lt;="&amp;$D39,'Schedule'!$F:$F,"&lt;&gt;Yes"))</f>
        <v/>
      </c>
      <c r="G39" s="35" t="n"/>
      <c r="H39" s="35" t="n"/>
    </row>
    <row r="40">
      <c r="C40" s="35" t="n"/>
      <c r="D40" s="35" t="n"/>
      <c r="E40" s="36">
        <f>IF(OR($B40="",$C40="",$D40=""),"",SUMIFS('Schedule'!$D:$D,'Schedule'!$B:$B,$B40,'Schedule'!$E:$E,"Done",'Schedule'!$A:$A,"&gt;="&amp;$C40,'Schedule'!$A:$A,"&lt;="&amp;$D40))</f>
        <v/>
      </c>
      <c r="F40" s="36">
        <f>IF(OR($B40="",$C40="",$D40=""),"",SUMIFS('Schedule'!$D:$D,'Schedule'!$B:$B,$B40,'Schedule'!$E:$E,"Done",'Schedule'!$A:$A,"&gt;="&amp;$C40,'Schedule'!$A:$A,"&lt;="&amp;$D40,'Schedule'!$F:$F,"&lt;&gt;Yes"))</f>
        <v/>
      </c>
      <c r="G40" s="35" t="n"/>
      <c r="H40" s="35" t="n"/>
    </row>
    <row r="41">
      <c r="C41" s="35" t="n"/>
      <c r="D41" s="35" t="n"/>
      <c r="E41" s="36">
        <f>IF(OR($B41="",$C41="",$D41=""),"",SUMIFS('Schedule'!$D:$D,'Schedule'!$B:$B,$B41,'Schedule'!$E:$E,"Done",'Schedule'!$A:$A,"&gt;="&amp;$C41,'Schedule'!$A:$A,"&lt;="&amp;$D41))</f>
        <v/>
      </c>
      <c r="F41" s="36">
        <f>IF(OR($B41="",$C41="",$D41=""),"",SUMIFS('Schedule'!$D:$D,'Schedule'!$B:$B,$B41,'Schedule'!$E:$E,"Done",'Schedule'!$A:$A,"&gt;="&amp;$C41,'Schedule'!$A:$A,"&lt;="&amp;$D41,'Schedule'!$F:$F,"&lt;&gt;Yes"))</f>
        <v/>
      </c>
      <c r="G41" s="35" t="n"/>
      <c r="H41" s="35" t="n"/>
    </row>
    <row r="42">
      <c r="C42" s="35" t="n"/>
      <c r="D42" s="35" t="n"/>
      <c r="E42" s="36">
        <f>IF(OR($B42="",$C42="",$D42=""),"",SUMIFS('Schedule'!$D:$D,'Schedule'!$B:$B,$B42,'Schedule'!$E:$E,"Done",'Schedule'!$A:$A,"&gt;="&amp;$C42,'Schedule'!$A:$A,"&lt;="&amp;$D42))</f>
        <v/>
      </c>
      <c r="F42" s="36">
        <f>IF(OR($B42="",$C42="",$D42=""),"",SUMIFS('Schedule'!$D:$D,'Schedule'!$B:$B,$B42,'Schedule'!$E:$E,"Done",'Schedule'!$A:$A,"&gt;="&amp;$C42,'Schedule'!$A:$A,"&lt;="&amp;$D42,'Schedule'!$F:$F,"&lt;&gt;Yes"))</f>
        <v/>
      </c>
      <c r="G42" s="35" t="n"/>
      <c r="H42" s="35" t="n"/>
    </row>
    <row r="43">
      <c r="C43" s="35" t="n"/>
      <c r="D43" s="35" t="n"/>
      <c r="E43" s="36">
        <f>IF(OR($B43="",$C43="",$D43=""),"",SUMIFS('Schedule'!$D:$D,'Schedule'!$B:$B,$B43,'Schedule'!$E:$E,"Done",'Schedule'!$A:$A,"&gt;="&amp;$C43,'Schedule'!$A:$A,"&lt;="&amp;$D43))</f>
        <v/>
      </c>
      <c r="F43" s="36">
        <f>IF(OR($B43="",$C43="",$D43=""),"",SUMIFS('Schedule'!$D:$D,'Schedule'!$B:$B,$B43,'Schedule'!$E:$E,"Done",'Schedule'!$A:$A,"&gt;="&amp;$C43,'Schedule'!$A:$A,"&lt;="&amp;$D43,'Schedule'!$F:$F,"&lt;&gt;Yes"))</f>
        <v/>
      </c>
      <c r="G43" s="35" t="n"/>
      <c r="H43" s="35" t="n"/>
    </row>
    <row r="44">
      <c r="C44" s="35" t="n"/>
      <c r="D44" s="35" t="n"/>
      <c r="E44" s="36">
        <f>IF(OR($B44="",$C44="",$D44=""),"",SUMIFS('Schedule'!$D:$D,'Schedule'!$B:$B,$B44,'Schedule'!$E:$E,"Done",'Schedule'!$A:$A,"&gt;="&amp;$C44,'Schedule'!$A:$A,"&lt;="&amp;$D44))</f>
        <v/>
      </c>
      <c r="F44" s="36">
        <f>IF(OR($B44="",$C44="",$D44=""),"",SUMIFS('Schedule'!$D:$D,'Schedule'!$B:$B,$B44,'Schedule'!$E:$E,"Done",'Schedule'!$A:$A,"&gt;="&amp;$C44,'Schedule'!$A:$A,"&lt;="&amp;$D44,'Schedule'!$F:$F,"&lt;&gt;Yes"))</f>
        <v/>
      </c>
      <c r="G44" s="35" t="n"/>
      <c r="H44" s="35" t="n"/>
    </row>
    <row r="45">
      <c r="C45" s="35" t="n"/>
      <c r="D45" s="35" t="n"/>
      <c r="E45" s="36">
        <f>IF(OR($B45="",$C45="",$D45=""),"",SUMIFS('Schedule'!$D:$D,'Schedule'!$B:$B,$B45,'Schedule'!$E:$E,"Done",'Schedule'!$A:$A,"&gt;="&amp;$C45,'Schedule'!$A:$A,"&lt;="&amp;$D45))</f>
        <v/>
      </c>
      <c r="F45" s="36">
        <f>IF(OR($B45="",$C45="",$D45=""),"",SUMIFS('Schedule'!$D:$D,'Schedule'!$B:$B,$B45,'Schedule'!$E:$E,"Done",'Schedule'!$A:$A,"&gt;="&amp;$C45,'Schedule'!$A:$A,"&lt;="&amp;$D45,'Schedule'!$F:$F,"&lt;&gt;Yes"))</f>
        <v/>
      </c>
      <c r="G45" s="35" t="n"/>
      <c r="H45" s="35" t="n"/>
    </row>
    <row r="46">
      <c r="C46" s="35" t="n"/>
      <c r="D46" s="35" t="n"/>
      <c r="E46" s="36">
        <f>IF(OR($B46="",$C46="",$D46=""),"",SUMIFS('Schedule'!$D:$D,'Schedule'!$B:$B,$B46,'Schedule'!$E:$E,"Done",'Schedule'!$A:$A,"&gt;="&amp;$C46,'Schedule'!$A:$A,"&lt;="&amp;$D46))</f>
        <v/>
      </c>
      <c r="F46" s="36">
        <f>IF(OR($B46="",$C46="",$D46=""),"",SUMIFS('Schedule'!$D:$D,'Schedule'!$B:$B,$B46,'Schedule'!$E:$E,"Done",'Schedule'!$A:$A,"&gt;="&amp;$C46,'Schedule'!$A:$A,"&lt;="&amp;$D46,'Schedule'!$F:$F,"&lt;&gt;Yes"))</f>
        <v/>
      </c>
      <c r="G46" s="35" t="n"/>
      <c r="H46" s="35" t="n"/>
    </row>
    <row r="47">
      <c r="C47" s="35" t="n"/>
      <c r="D47" s="35" t="n"/>
      <c r="E47" s="36">
        <f>IF(OR($B47="",$C47="",$D47=""),"",SUMIFS('Schedule'!$D:$D,'Schedule'!$B:$B,$B47,'Schedule'!$E:$E,"Done",'Schedule'!$A:$A,"&gt;="&amp;$C47,'Schedule'!$A:$A,"&lt;="&amp;$D47))</f>
        <v/>
      </c>
      <c r="F47" s="36">
        <f>IF(OR($B47="",$C47="",$D47=""),"",SUMIFS('Schedule'!$D:$D,'Schedule'!$B:$B,$B47,'Schedule'!$E:$E,"Done",'Schedule'!$A:$A,"&gt;="&amp;$C47,'Schedule'!$A:$A,"&lt;="&amp;$D47,'Schedule'!$F:$F,"&lt;&gt;Yes"))</f>
        <v/>
      </c>
      <c r="G47" s="35" t="n"/>
      <c r="H47" s="35" t="n"/>
    </row>
    <row r="48">
      <c r="C48" s="35" t="n"/>
      <c r="D48" s="35" t="n"/>
      <c r="E48" s="36">
        <f>IF(OR($B48="",$C48="",$D48=""),"",SUMIFS('Schedule'!$D:$D,'Schedule'!$B:$B,$B48,'Schedule'!$E:$E,"Done",'Schedule'!$A:$A,"&gt;="&amp;$C48,'Schedule'!$A:$A,"&lt;="&amp;$D48))</f>
        <v/>
      </c>
      <c r="F48" s="36">
        <f>IF(OR($B48="",$C48="",$D48=""),"",SUMIFS('Schedule'!$D:$D,'Schedule'!$B:$B,$B48,'Schedule'!$E:$E,"Done",'Schedule'!$A:$A,"&gt;="&amp;$C48,'Schedule'!$A:$A,"&lt;="&amp;$D48,'Schedule'!$F:$F,"&lt;&gt;Yes"))</f>
        <v/>
      </c>
      <c r="G48" s="35" t="n"/>
      <c r="H48" s="35" t="n"/>
    </row>
    <row r="49">
      <c r="C49" s="35" t="n"/>
      <c r="D49" s="35" t="n"/>
      <c r="E49" s="36">
        <f>IF(OR($B49="",$C49="",$D49=""),"",SUMIFS('Schedule'!$D:$D,'Schedule'!$B:$B,$B49,'Schedule'!$E:$E,"Done",'Schedule'!$A:$A,"&gt;="&amp;$C49,'Schedule'!$A:$A,"&lt;="&amp;$D49))</f>
        <v/>
      </c>
      <c r="F49" s="36">
        <f>IF(OR($B49="",$C49="",$D49=""),"",SUMIFS('Schedule'!$D:$D,'Schedule'!$B:$B,$B49,'Schedule'!$E:$E,"Done",'Schedule'!$A:$A,"&gt;="&amp;$C49,'Schedule'!$A:$A,"&lt;="&amp;$D49,'Schedule'!$F:$F,"&lt;&gt;Yes"))</f>
        <v/>
      </c>
      <c r="G49" s="35" t="n"/>
      <c r="H49" s="35" t="n"/>
    </row>
    <row r="50">
      <c r="C50" s="35" t="n"/>
      <c r="D50" s="35" t="n"/>
      <c r="E50" s="36">
        <f>IF(OR($B50="",$C50="",$D50=""),"",SUMIFS('Schedule'!$D:$D,'Schedule'!$B:$B,$B50,'Schedule'!$E:$E,"Done",'Schedule'!$A:$A,"&gt;="&amp;$C50,'Schedule'!$A:$A,"&lt;="&amp;$D50))</f>
        <v/>
      </c>
      <c r="F50" s="36">
        <f>IF(OR($B50="",$C50="",$D50=""),"",SUMIFS('Schedule'!$D:$D,'Schedule'!$B:$B,$B50,'Schedule'!$E:$E,"Done",'Schedule'!$A:$A,"&gt;="&amp;$C50,'Schedule'!$A:$A,"&lt;="&amp;$D50,'Schedule'!$F:$F,"&lt;&gt;Yes"))</f>
        <v/>
      </c>
      <c r="G50" s="35" t="n"/>
      <c r="H50" s="35" t="n"/>
    </row>
    <row r="51">
      <c r="C51" s="35" t="n"/>
      <c r="D51" s="35" t="n"/>
      <c r="E51" s="36">
        <f>IF(OR($B51="",$C51="",$D51=""),"",SUMIFS('Schedule'!$D:$D,'Schedule'!$B:$B,$B51,'Schedule'!$E:$E,"Done",'Schedule'!$A:$A,"&gt;="&amp;$C51,'Schedule'!$A:$A,"&lt;="&amp;$D51))</f>
        <v/>
      </c>
      <c r="F51" s="36">
        <f>IF(OR($B51="",$C51="",$D51=""),"",SUMIFS('Schedule'!$D:$D,'Schedule'!$B:$B,$B51,'Schedule'!$E:$E,"Done",'Schedule'!$A:$A,"&gt;="&amp;$C51,'Schedule'!$A:$A,"&lt;="&amp;$D51,'Schedule'!$F:$F,"&lt;&gt;Yes"))</f>
        <v/>
      </c>
      <c r="G51" s="35" t="n"/>
      <c r="H51" s="35" t="n"/>
    </row>
    <row r="52">
      <c r="C52" s="35" t="n"/>
      <c r="D52" s="35" t="n"/>
      <c r="E52" s="36">
        <f>IF(OR($B52="",$C52="",$D52=""),"",SUMIFS('Schedule'!$D:$D,'Schedule'!$B:$B,$B52,'Schedule'!$E:$E,"Done",'Schedule'!$A:$A,"&gt;="&amp;$C52,'Schedule'!$A:$A,"&lt;="&amp;$D52))</f>
        <v/>
      </c>
      <c r="F52" s="36">
        <f>IF(OR($B52="",$C52="",$D52=""),"",SUMIFS('Schedule'!$D:$D,'Schedule'!$B:$B,$B52,'Schedule'!$E:$E,"Done",'Schedule'!$A:$A,"&gt;="&amp;$C52,'Schedule'!$A:$A,"&lt;="&amp;$D52,'Schedule'!$F:$F,"&lt;&gt;Yes"))</f>
        <v/>
      </c>
      <c r="G52" s="35" t="n"/>
      <c r="H52" s="35" t="n"/>
    </row>
    <row r="53">
      <c r="C53" s="35" t="n"/>
      <c r="D53" s="35" t="n"/>
      <c r="E53" s="36">
        <f>IF(OR($B53="",$C53="",$D53=""),"",SUMIFS('Schedule'!$D:$D,'Schedule'!$B:$B,$B53,'Schedule'!$E:$E,"Done",'Schedule'!$A:$A,"&gt;="&amp;$C53,'Schedule'!$A:$A,"&lt;="&amp;$D53))</f>
        <v/>
      </c>
      <c r="F53" s="36">
        <f>IF(OR($B53="",$C53="",$D53=""),"",SUMIFS('Schedule'!$D:$D,'Schedule'!$B:$B,$B53,'Schedule'!$E:$E,"Done",'Schedule'!$A:$A,"&gt;="&amp;$C53,'Schedule'!$A:$A,"&lt;="&amp;$D53,'Schedule'!$F:$F,"&lt;&gt;Yes"))</f>
        <v/>
      </c>
      <c r="G53" s="35" t="n"/>
      <c r="H53" s="35" t="n"/>
    </row>
    <row r="54">
      <c r="C54" s="35" t="n"/>
      <c r="D54" s="35" t="n"/>
      <c r="E54" s="36">
        <f>IF(OR($B54="",$C54="",$D54=""),"",SUMIFS('Schedule'!$D:$D,'Schedule'!$B:$B,$B54,'Schedule'!$E:$E,"Done",'Schedule'!$A:$A,"&gt;="&amp;$C54,'Schedule'!$A:$A,"&lt;="&amp;$D54))</f>
        <v/>
      </c>
      <c r="F54" s="36">
        <f>IF(OR($B54="",$C54="",$D54=""),"",SUMIFS('Schedule'!$D:$D,'Schedule'!$B:$B,$B54,'Schedule'!$E:$E,"Done",'Schedule'!$A:$A,"&gt;="&amp;$C54,'Schedule'!$A:$A,"&lt;="&amp;$D54,'Schedule'!$F:$F,"&lt;&gt;Yes"))</f>
        <v/>
      </c>
      <c r="G54" s="35" t="n"/>
      <c r="H54" s="35" t="n"/>
    </row>
    <row r="55">
      <c r="C55" s="35" t="n"/>
      <c r="D55" s="35" t="n"/>
      <c r="E55" s="36">
        <f>IF(OR($B55="",$C55="",$D55=""),"",SUMIFS('Schedule'!$D:$D,'Schedule'!$B:$B,$B55,'Schedule'!$E:$E,"Done",'Schedule'!$A:$A,"&gt;="&amp;$C55,'Schedule'!$A:$A,"&lt;="&amp;$D55))</f>
        <v/>
      </c>
      <c r="F55" s="36">
        <f>IF(OR($B55="",$C55="",$D55=""),"",SUMIFS('Schedule'!$D:$D,'Schedule'!$B:$B,$B55,'Schedule'!$E:$E,"Done",'Schedule'!$A:$A,"&gt;="&amp;$C55,'Schedule'!$A:$A,"&lt;="&amp;$D55,'Schedule'!$F:$F,"&lt;&gt;Yes"))</f>
        <v/>
      </c>
      <c r="G55" s="35" t="n"/>
      <c r="H55" s="35" t="n"/>
    </row>
    <row r="56">
      <c r="C56" s="35" t="n"/>
      <c r="D56" s="35" t="n"/>
      <c r="E56" s="36">
        <f>IF(OR($B56="",$C56="",$D56=""),"",SUMIFS('Schedule'!$D:$D,'Schedule'!$B:$B,$B56,'Schedule'!$E:$E,"Done",'Schedule'!$A:$A,"&gt;="&amp;$C56,'Schedule'!$A:$A,"&lt;="&amp;$D56))</f>
        <v/>
      </c>
      <c r="F56" s="36">
        <f>IF(OR($B56="",$C56="",$D56=""),"",SUMIFS('Schedule'!$D:$D,'Schedule'!$B:$B,$B56,'Schedule'!$E:$E,"Done",'Schedule'!$A:$A,"&gt;="&amp;$C56,'Schedule'!$A:$A,"&lt;="&amp;$D56,'Schedule'!$F:$F,"&lt;&gt;Yes"))</f>
        <v/>
      </c>
      <c r="G56" s="35" t="n"/>
      <c r="H56" s="35" t="n"/>
    </row>
    <row r="57">
      <c r="C57" s="35" t="n"/>
      <c r="D57" s="35" t="n"/>
      <c r="E57" s="36">
        <f>IF(OR($B57="",$C57="",$D57=""),"",SUMIFS('Schedule'!$D:$D,'Schedule'!$B:$B,$B57,'Schedule'!$E:$E,"Done",'Schedule'!$A:$A,"&gt;="&amp;$C57,'Schedule'!$A:$A,"&lt;="&amp;$D57))</f>
        <v/>
      </c>
      <c r="F57" s="36">
        <f>IF(OR($B57="",$C57="",$D57=""),"",SUMIFS('Schedule'!$D:$D,'Schedule'!$B:$B,$B57,'Schedule'!$E:$E,"Done",'Schedule'!$A:$A,"&gt;="&amp;$C57,'Schedule'!$A:$A,"&lt;="&amp;$D57,'Schedule'!$F:$F,"&lt;&gt;Yes"))</f>
        <v/>
      </c>
      <c r="G57" s="35" t="n"/>
      <c r="H57" s="35" t="n"/>
    </row>
    <row r="58">
      <c r="C58" s="35" t="n"/>
      <c r="D58" s="35" t="n"/>
      <c r="E58" s="36">
        <f>IF(OR($B58="",$C58="",$D58=""),"",SUMIFS('Schedule'!$D:$D,'Schedule'!$B:$B,$B58,'Schedule'!$E:$E,"Done",'Schedule'!$A:$A,"&gt;="&amp;$C58,'Schedule'!$A:$A,"&lt;="&amp;$D58))</f>
        <v/>
      </c>
      <c r="F58" s="36">
        <f>IF(OR($B58="",$C58="",$D58=""),"",SUMIFS('Schedule'!$D:$D,'Schedule'!$B:$B,$B58,'Schedule'!$E:$E,"Done",'Schedule'!$A:$A,"&gt;="&amp;$C58,'Schedule'!$A:$A,"&lt;="&amp;$D58,'Schedule'!$F:$F,"&lt;&gt;Yes"))</f>
        <v/>
      </c>
      <c r="G58" s="35" t="n"/>
      <c r="H58" s="35" t="n"/>
    </row>
    <row r="59">
      <c r="C59" s="35" t="n"/>
      <c r="D59" s="35" t="n"/>
      <c r="E59" s="36">
        <f>IF(OR($B59="",$C59="",$D59=""),"",SUMIFS('Schedule'!$D:$D,'Schedule'!$B:$B,$B59,'Schedule'!$E:$E,"Done",'Schedule'!$A:$A,"&gt;="&amp;$C59,'Schedule'!$A:$A,"&lt;="&amp;$D59))</f>
        <v/>
      </c>
      <c r="F59" s="36">
        <f>IF(OR($B59="",$C59="",$D59=""),"",SUMIFS('Schedule'!$D:$D,'Schedule'!$B:$B,$B59,'Schedule'!$E:$E,"Done",'Schedule'!$A:$A,"&gt;="&amp;$C59,'Schedule'!$A:$A,"&lt;="&amp;$D59,'Schedule'!$F:$F,"&lt;&gt;Yes"))</f>
        <v/>
      </c>
      <c r="G59" s="35" t="n"/>
      <c r="H59" s="35" t="n"/>
    </row>
    <row r="60">
      <c r="C60" s="35" t="n"/>
      <c r="D60" s="35" t="n"/>
      <c r="E60" s="36">
        <f>IF(OR($B60="",$C60="",$D60=""),"",SUMIFS('Schedule'!$D:$D,'Schedule'!$B:$B,$B60,'Schedule'!$E:$E,"Done",'Schedule'!$A:$A,"&gt;="&amp;$C60,'Schedule'!$A:$A,"&lt;="&amp;$D60))</f>
        <v/>
      </c>
      <c r="F60" s="36">
        <f>IF(OR($B60="",$C60="",$D60=""),"",SUMIFS('Schedule'!$D:$D,'Schedule'!$B:$B,$B60,'Schedule'!$E:$E,"Done",'Schedule'!$A:$A,"&gt;="&amp;$C60,'Schedule'!$A:$A,"&lt;="&amp;$D60,'Schedule'!$F:$F,"&lt;&gt;Yes"))</f>
        <v/>
      </c>
      <c r="G60" s="35" t="n"/>
      <c r="H60" s="35" t="n"/>
    </row>
    <row r="61">
      <c r="C61" s="35" t="n"/>
      <c r="D61" s="35" t="n"/>
      <c r="E61" s="36">
        <f>IF(OR($B61="",$C61="",$D61=""),"",SUMIFS('Schedule'!$D:$D,'Schedule'!$B:$B,$B61,'Schedule'!$E:$E,"Done",'Schedule'!$A:$A,"&gt;="&amp;$C61,'Schedule'!$A:$A,"&lt;="&amp;$D61))</f>
        <v/>
      </c>
      <c r="F61" s="36">
        <f>IF(OR($B61="",$C61="",$D61=""),"",SUMIFS('Schedule'!$D:$D,'Schedule'!$B:$B,$B61,'Schedule'!$E:$E,"Done",'Schedule'!$A:$A,"&gt;="&amp;$C61,'Schedule'!$A:$A,"&lt;="&amp;$D61,'Schedule'!$F:$F,"&lt;&gt;Yes"))</f>
        <v/>
      </c>
      <c r="G61" s="35" t="n"/>
      <c r="H61" s="35" t="n"/>
    </row>
    <row r="62">
      <c r="C62" s="35" t="n"/>
      <c r="D62" s="35" t="n"/>
      <c r="E62" s="36">
        <f>IF(OR($B62="",$C62="",$D62=""),"",SUMIFS('Schedule'!$D:$D,'Schedule'!$B:$B,$B62,'Schedule'!$E:$E,"Done",'Schedule'!$A:$A,"&gt;="&amp;$C62,'Schedule'!$A:$A,"&lt;="&amp;$D62))</f>
        <v/>
      </c>
      <c r="F62" s="36">
        <f>IF(OR($B62="",$C62="",$D62=""),"",SUMIFS('Schedule'!$D:$D,'Schedule'!$B:$B,$B62,'Schedule'!$E:$E,"Done",'Schedule'!$A:$A,"&gt;="&amp;$C62,'Schedule'!$A:$A,"&lt;="&amp;$D62,'Schedule'!$F:$F,"&lt;&gt;Yes"))</f>
        <v/>
      </c>
      <c r="G62" s="35" t="n"/>
      <c r="H62" s="35" t="n"/>
    </row>
    <row r="63">
      <c r="C63" s="35" t="n"/>
      <c r="D63" s="35" t="n"/>
      <c r="E63" s="36">
        <f>IF(OR($B63="",$C63="",$D63=""),"",SUMIFS('Schedule'!$D:$D,'Schedule'!$B:$B,$B63,'Schedule'!$E:$E,"Done",'Schedule'!$A:$A,"&gt;="&amp;$C63,'Schedule'!$A:$A,"&lt;="&amp;$D63))</f>
        <v/>
      </c>
      <c r="F63" s="36">
        <f>IF(OR($B63="",$C63="",$D63=""),"",SUMIFS('Schedule'!$D:$D,'Schedule'!$B:$B,$B63,'Schedule'!$E:$E,"Done",'Schedule'!$A:$A,"&gt;="&amp;$C63,'Schedule'!$A:$A,"&lt;="&amp;$D63,'Schedule'!$F:$F,"&lt;&gt;Yes"))</f>
        <v/>
      </c>
      <c r="G63" s="35" t="n"/>
      <c r="H63" s="35" t="n"/>
    </row>
    <row r="64">
      <c r="C64" s="35" t="n"/>
      <c r="D64" s="35" t="n"/>
      <c r="E64" s="36">
        <f>IF(OR($B64="",$C64="",$D64=""),"",SUMIFS('Schedule'!$D:$D,'Schedule'!$B:$B,$B64,'Schedule'!$E:$E,"Done",'Schedule'!$A:$A,"&gt;="&amp;$C64,'Schedule'!$A:$A,"&lt;="&amp;$D64))</f>
        <v/>
      </c>
      <c r="F64" s="36">
        <f>IF(OR($B64="",$C64="",$D64=""),"",SUMIFS('Schedule'!$D:$D,'Schedule'!$B:$B,$B64,'Schedule'!$E:$E,"Done",'Schedule'!$A:$A,"&gt;="&amp;$C64,'Schedule'!$A:$A,"&lt;="&amp;$D64,'Schedule'!$F:$F,"&lt;&gt;Yes"))</f>
        <v/>
      </c>
      <c r="G64" s="35" t="n"/>
      <c r="H64" s="35" t="n"/>
    </row>
    <row r="65">
      <c r="C65" s="35" t="n"/>
      <c r="D65" s="35" t="n"/>
      <c r="E65" s="36">
        <f>IF(OR($B65="",$C65="",$D65=""),"",SUMIFS('Schedule'!$D:$D,'Schedule'!$B:$B,$B65,'Schedule'!$E:$E,"Done",'Schedule'!$A:$A,"&gt;="&amp;$C65,'Schedule'!$A:$A,"&lt;="&amp;$D65))</f>
        <v/>
      </c>
      <c r="F65" s="36">
        <f>IF(OR($B65="",$C65="",$D65=""),"",SUMIFS('Schedule'!$D:$D,'Schedule'!$B:$B,$B65,'Schedule'!$E:$E,"Done",'Schedule'!$A:$A,"&gt;="&amp;$C65,'Schedule'!$A:$A,"&lt;="&amp;$D65,'Schedule'!$F:$F,"&lt;&gt;Yes"))</f>
        <v/>
      </c>
      <c r="G65" s="35" t="n"/>
      <c r="H65" s="35" t="n"/>
    </row>
    <row r="66">
      <c r="C66" s="35" t="n"/>
      <c r="D66" s="35" t="n"/>
      <c r="E66" s="36">
        <f>IF(OR($B66="",$C66="",$D66=""),"",SUMIFS('Schedule'!$D:$D,'Schedule'!$B:$B,$B66,'Schedule'!$E:$E,"Done",'Schedule'!$A:$A,"&gt;="&amp;$C66,'Schedule'!$A:$A,"&lt;="&amp;$D66))</f>
        <v/>
      </c>
      <c r="F66" s="36">
        <f>IF(OR($B66="",$C66="",$D66=""),"",SUMIFS('Schedule'!$D:$D,'Schedule'!$B:$B,$B66,'Schedule'!$E:$E,"Done",'Schedule'!$A:$A,"&gt;="&amp;$C66,'Schedule'!$A:$A,"&lt;="&amp;$D66,'Schedule'!$F:$F,"&lt;&gt;Yes"))</f>
        <v/>
      </c>
      <c r="G66" s="35" t="n"/>
      <c r="H66" s="35" t="n"/>
    </row>
    <row r="67">
      <c r="C67" s="35" t="n"/>
      <c r="D67" s="35" t="n"/>
      <c r="E67" s="36">
        <f>IF(OR($B67="",$C67="",$D67=""),"",SUMIFS('Schedule'!$D:$D,'Schedule'!$B:$B,$B67,'Schedule'!$E:$E,"Done",'Schedule'!$A:$A,"&gt;="&amp;$C67,'Schedule'!$A:$A,"&lt;="&amp;$D67))</f>
        <v/>
      </c>
      <c r="F67" s="36">
        <f>IF(OR($B67="",$C67="",$D67=""),"",SUMIFS('Schedule'!$D:$D,'Schedule'!$B:$B,$B67,'Schedule'!$E:$E,"Done",'Schedule'!$A:$A,"&gt;="&amp;$C67,'Schedule'!$A:$A,"&lt;="&amp;$D67,'Schedule'!$F:$F,"&lt;&gt;Yes"))</f>
        <v/>
      </c>
      <c r="G67" s="35" t="n"/>
      <c r="H67" s="35" t="n"/>
    </row>
    <row r="68">
      <c r="C68" s="35" t="n"/>
      <c r="D68" s="35" t="n"/>
      <c r="E68" s="36">
        <f>IF(OR($B68="",$C68="",$D68=""),"",SUMIFS('Schedule'!$D:$D,'Schedule'!$B:$B,$B68,'Schedule'!$E:$E,"Done",'Schedule'!$A:$A,"&gt;="&amp;$C68,'Schedule'!$A:$A,"&lt;="&amp;$D68))</f>
        <v/>
      </c>
      <c r="F68" s="36">
        <f>IF(OR($B68="",$C68="",$D68=""),"",SUMIFS('Schedule'!$D:$D,'Schedule'!$B:$B,$B68,'Schedule'!$E:$E,"Done",'Schedule'!$A:$A,"&gt;="&amp;$C68,'Schedule'!$A:$A,"&lt;="&amp;$D68,'Schedule'!$F:$F,"&lt;&gt;Yes"))</f>
        <v/>
      </c>
      <c r="G68" s="35" t="n"/>
      <c r="H68" s="35" t="n"/>
    </row>
    <row r="69">
      <c r="C69" s="35" t="n"/>
      <c r="D69" s="35" t="n"/>
      <c r="E69" s="36">
        <f>IF(OR($B69="",$C69="",$D69=""),"",SUMIFS('Schedule'!$D:$D,'Schedule'!$B:$B,$B69,'Schedule'!$E:$E,"Done",'Schedule'!$A:$A,"&gt;="&amp;$C69,'Schedule'!$A:$A,"&lt;="&amp;$D69))</f>
        <v/>
      </c>
      <c r="F69" s="36">
        <f>IF(OR($B69="",$C69="",$D69=""),"",SUMIFS('Schedule'!$D:$D,'Schedule'!$B:$B,$B69,'Schedule'!$E:$E,"Done",'Schedule'!$A:$A,"&gt;="&amp;$C69,'Schedule'!$A:$A,"&lt;="&amp;$D69,'Schedule'!$F:$F,"&lt;&gt;Yes"))</f>
        <v/>
      </c>
      <c r="G69" s="35" t="n"/>
      <c r="H69" s="35" t="n"/>
    </row>
    <row r="70">
      <c r="C70" s="35" t="n"/>
      <c r="D70" s="35" t="n"/>
      <c r="E70" s="36">
        <f>IF(OR($B70="",$C70="",$D70=""),"",SUMIFS('Schedule'!$D:$D,'Schedule'!$B:$B,$B70,'Schedule'!$E:$E,"Done",'Schedule'!$A:$A,"&gt;="&amp;$C70,'Schedule'!$A:$A,"&lt;="&amp;$D70))</f>
        <v/>
      </c>
      <c r="F70" s="36">
        <f>IF(OR($B70="",$C70="",$D70=""),"",SUMIFS('Schedule'!$D:$D,'Schedule'!$B:$B,$B70,'Schedule'!$E:$E,"Done",'Schedule'!$A:$A,"&gt;="&amp;$C70,'Schedule'!$A:$A,"&lt;="&amp;$D70,'Schedule'!$F:$F,"&lt;&gt;Yes"))</f>
        <v/>
      </c>
      <c r="G70" s="35" t="n"/>
      <c r="H70" s="35" t="n"/>
    </row>
    <row r="71">
      <c r="C71" s="35" t="n"/>
      <c r="D71" s="35" t="n"/>
      <c r="E71" s="36">
        <f>IF(OR($B71="",$C71="",$D71=""),"",SUMIFS('Schedule'!$D:$D,'Schedule'!$B:$B,$B71,'Schedule'!$E:$E,"Done",'Schedule'!$A:$A,"&gt;="&amp;$C71,'Schedule'!$A:$A,"&lt;="&amp;$D71))</f>
        <v/>
      </c>
      <c r="F71" s="36">
        <f>IF(OR($B71="",$C71="",$D71=""),"",SUMIFS('Schedule'!$D:$D,'Schedule'!$B:$B,$B71,'Schedule'!$E:$E,"Done",'Schedule'!$A:$A,"&gt;="&amp;$C71,'Schedule'!$A:$A,"&lt;="&amp;$D71,'Schedule'!$F:$F,"&lt;&gt;Yes"))</f>
        <v/>
      </c>
      <c r="G71" s="35" t="n"/>
      <c r="H71" s="35" t="n"/>
    </row>
    <row r="72">
      <c r="C72" s="35" t="n"/>
      <c r="D72" s="35" t="n"/>
      <c r="E72" s="36">
        <f>IF(OR($B72="",$C72="",$D72=""),"",SUMIFS('Schedule'!$D:$D,'Schedule'!$B:$B,$B72,'Schedule'!$E:$E,"Done",'Schedule'!$A:$A,"&gt;="&amp;$C72,'Schedule'!$A:$A,"&lt;="&amp;$D72))</f>
        <v/>
      </c>
      <c r="F72" s="36">
        <f>IF(OR($B72="",$C72="",$D72=""),"",SUMIFS('Schedule'!$D:$D,'Schedule'!$B:$B,$B72,'Schedule'!$E:$E,"Done",'Schedule'!$A:$A,"&gt;="&amp;$C72,'Schedule'!$A:$A,"&lt;="&amp;$D72,'Schedule'!$F:$F,"&lt;&gt;Yes"))</f>
        <v/>
      </c>
      <c r="G72" s="35" t="n"/>
      <c r="H72" s="35" t="n"/>
    </row>
    <row r="73">
      <c r="C73" s="35" t="n"/>
      <c r="D73" s="35" t="n"/>
      <c r="E73" s="36">
        <f>IF(OR($B73="",$C73="",$D73=""),"",SUMIFS('Schedule'!$D:$D,'Schedule'!$B:$B,$B73,'Schedule'!$E:$E,"Done",'Schedule'!$A:$A,"&gt;="&amp;$C73,'Schedule'!$A:$A,"&lt;="&amp;$D73))</f>
        <v/>
      </c>
      <c r="F73" s="36">
        <f>IF(OR($B73="",$C73="",$D73=""),"",SUMIFS('Schedule'!$D:$D,'Schedule'!$B:$B,$B73,'Schedule'!$E:$E,"Done",'Schedule'!$A:$A,"&gt;="&amp;$C73,'Schedule'!$A:$A,"&lt;="&amp;$D73,'Schedule'!$F:$F,"&lt;&gt;Yes"))</f>
        <v/>
      </c>
      <c r="G73" s="35" t="n"/>
      <c r="H73" s="35" t="n"/>
    </row>
    <row r="74">
      <c r="C74" s="35" t="n"/>
      <c r="D74" s="35" t="n"/>
      <c r="E74" s="36">
        <f>IF(OR($B74="",$C74="",$D74=""),"",SUMIFS('Schedule'!$D:$D,'Schedule'!$B:$B,$B74,'Schedule'!$E:$E,"Done",'Schedule'!$A:$A,"&gt;="&amp;$C74,'Schedule'!$A:$A,"&lt;="&amp;$D74))</f>
        <v/>
      </c>
      <c r="F74" s="36">
        <f>IF(OR($B74="",$C74="",$D74=""),"",SUMIFS('Schedule'!$D:$D,'Schedule'!$B:$B,$B74,'Schedule'!$E:$E,"Done",'Schedule'!$A:$A,"&gt;="&amp;$C74,'Schedule'!$A:$A,"&lt;="&amp;$D74,'Schedule'!$F:$F,"&lt;&gt;Yes"))</f>
        <v/>
      </c>
      <c r="G74" s="35" t="n"/>
      <c r="H74" s="35" t="n"/>
    </row>
    <row r="75">
      <c r="C75" s="35" t="n"/>
      <c r="D75" s="35" t="n"/>
      <c r="E75" s="36">
        <f>IF(OR($B75="",$C75="",$D75=""),"",SUMIFS('Schedule'!$D:$D,'Schedule'!$B:$B,$B75,'Schedule'!$E:$E,"Done",'Schedule'!$A:$A,"&gt;="&amp;$C75,'Schedule'!$A:$A,"&lt;="&amp;$D75))</f>
        <v/>
      </c>
      <c r="F75" s="36">
        <f>IF(OR($B75="",$C75="",$D75=""),"",SUMIFS('Schedule'!$D:$D,'Schedule'!$B:$B,$B75,'Schedule'!$E:$E,"Done",'Schedule'!$A:$A,"&gt;="&amp;$C75,'Schedule'!$A:$A,"&lt;="&amp;$D75,'Schedule'!$F:$F,"&lt;&gt;Yes"))</f>
        <v/>
      </c>
      <c r="G75" s="35" t="n"/>
      <c r="H75" s="35" t="n"/>
    </row>
    <row r="76">
      <c r="C76" s="35" t="n"/>
      <c r="D76" s="35" t="n"/>
      <c r="E76" s="36">
        <f>IF(OR($B76="",$C76="",$D76=""),"",SUMIFS('Schedule'!$D:$D,'Schedule'!$B:$B,$B76,'Schedule'!$E:$E,"Done",'Schedule'!$A:$A,"&gt;="&amp;$C76,'Schedule'!$A:$A,"&lt;="&amp;$D76))</f>
        <v/>
      </c>
      <c r="F76" s="36">
        <f>IF(OR($B76="",$C76="",$D76=""),"",SUMIFS('Schedule'!$D:$D,'Schedule'!$B:$B,$B76,'Schedule'!$E:$E,"Done",'Schedule'!$A:$A,"&gt;="&amp;$C76,'Schedule'!$A:$A,"&lt;="&amp;$D76,'Schedule'!$F:$F,"&lt;&gt;Yes"))</f>
        <v/>
      </c>
      <c r="G76" s="35" t="n"/>
      <c r="H76" s="35" t="n"/>
    </row>
    <row r="77">
      <c r="C77" s="35" t="n"/>
      <c r="D77" s="35" t="n"/>
      <c r="E77" s="36">
        <f>IF(OR($B77="",$C77="",$D77=""),"",SUMIFS('Schedule'!$D:$D,'Schedule'!$B:$B,$B77,'Schedule'!$E:$E,"Done",'Schedule'!$A:$A,"&gt;="&amp;$C77,'Schedule'!$A:$A,"&lt;="&amp;$D77))</f>
        <v/>
      </c>
      <c r="F77" s="36">
        <f>IF(OR($B77="",$C77="",$D77=""),"",SUMIFS('Schedule'!$D:$D,'Schedule'!$B:$B,$B77,'Schedule'!$E:$E,"Done",'Schedule'!$A:$A,"&gt;="&amp;$C77,'Schedule'!$A:$A,"&lt;="&amp;$D77,'Schedule'!$F:$F,"&lt;&gt;Yes"))</f>
        <v/>
      </c>
      <c r="G77" s="35" t="n"/>
      <c r="H77" s="35" t="n"/>
    </row>
    <row r="78">
      <c r="C78" s="35" t="n"/>
      <c r="D78" s="35" t="n"/>
      <c r="E78" s="36">
        <f>IF(OR($B78="",$C78="",$D78=""),"",SUMIFS('Schedule'!$D:$D,'Schedule'!$B:$B,$B78,'Schedule'!$E:$E,"Done",'Schedule'!$A:$A,"&gt;="&amp;$C78,'Schedule'!$A:$A,"&lt;="&amp;$D78))</f>
        <v/>
      </c>
      <c r="F78" s="36">
        <f>IF(OR($B78="",$C78="",$D78=""),"",SUMIFS('Schedule'!$D:$D,'Schedule'!$B:$B,$B78,'Schedule'!$E:$E,"Done",'Schedule'!$A:$A,"&gt;="&amp;$C78,'Schedule'!$A:$A,"&lt;="&amp;$D78,'Schedule'!$F:$F,"&lt;&gt;Yes"))</f>
        <v/>
      </c>
      <c r="G78" s="35" t="n"/>
      <c r="H78" s="35" t="n"/>
    </row>
    <row r="79">
      <c r="C79" s="35" t="n"/>
      <c r="D79" s="35" t="n"/>
      <c r="E79" s="36">
        <f>IF(OR($B79="",$C79="",$D79=""),"",SUMIFS('Schedule'!$D:$D,'Schedule'!$B:$B,$B79,'Schedule'!$E:$E,"Done",'Schedule'!$A:$A,"&gt;="&amp;$C79,'Schedule'!$A:$A,"&lt;="&amp;$D79))</f>
        <v/>
      </c>
      <c r="F79" s="36">
        <f>IF(OR($B79="",$C79="",$D79=""),"",SUMIFS('Schedule'!$D:$D,'Schedule'!$B:$B,$B79,'Schedule'!$E:$E,"Done",'Schedule'!$A:$A,"&gt;="&amp;$C79,'Schedule'!$A:$A,"&lt;="&amp;$D79,'Schedule'!$F:$F,"&lt;&gt;Yes"))</f>
        <v/>
      </c>
      <c r="G79" s="35" t="n"/>
      <c r="H79" s="35" t="n"/>
    </row>
    <row r="80">
      <c r="C80" s="35" t="n"/>
      <c r="D80" s="35" t="n"/>
      <c r="E80" s="36">
        <f>IF(OR($B80="",$C80="",$D80=""),"",SUMIFS('Schedule'!$D:$D,'Schedule'!$B:$B,$B80,'Schedule'!$E:$E,"Done",'Schedule'!$A:$A,"&gt;="&amp;$C80,'Schedule'!$A:$A,"&lt;="&amp;$D80))</f>
        <v/>
      </c>
      <c r="F80" s="36">
        <f>IF(OR($B80="",$C80="",$D80=""),"",SUMIFS('Schedule'!$D:$D,'Schedule'!$B:$B,$B80,'Schedule'!$E:$E,"Done",'Schedule'!$A:$A,"&gt;="&amp;$C80,'Schedule'!$A:$A,"&lt;="&amp;$D80,'Schedule'!$F:$F,"&lt;&gt;Yes"))</f>
        <v/>
      </c>
      <c r="G80" s="35" t="n"/>
      <c r="H80" s="35" t="n"/>
    </row>
    <row r="81">
      <c r="C81" s="35" t="n"/>
      <c r="D81" s="35" t="n"/>
      <c r="E81" s="36">
        <f>IF(OR($B81="",$C81="",$D81=""),"",SUMIFS('Schedule'!$D:$D,'Schedule'!$B:$B,$B81,'Schedule'!$E:$E,"Done",'Schedule'!$A:$A,"&gt;="&amp;$C81,'Schedule'!$A:$A,"&lt;="&amp;$D81))</f>
        <v/>
      </c>
      <c r="F81" s="36">
        <f>IF(OR($B81="",$C81="",$D81=""),"",SUMIFS('Schedule'!$D:$D,'Schedule'!$B:$B,$B81,'Schedule'!$E:$E,"Done",'Schedule'!$A:$A,"&gt;="&amp;$C81,'Schedule'!$A:$A,"&lt;="&amp;$D81,'Schedule'!$F:$F,"&lt;&gt;Yes"))</f>
        <v/>
      </c>
      <c r="G81" s="35" t="n"/>
      <c r="H81" s="35" t="n"/>
    </row>
    <row r="82">
      <c r="C82" s="35" t="n"/>
      <c r="D82" s="35" t="n"/>
      <c r="E82" s="36">
        <f>IF(OR($B82="",$C82="",$D82=""),"",SUMIFS('Schedule'!$D:$D,'Schedule'!$B:$B,$B82,'Schedule'!$E:$E,"Done",'Schedule'!$A:$A,"&gt;="&amp;$C82,'Schedule'!$A:$A,"&lt;="&amp;$D82))</f>
        <v/>
      </c>
      <c r="F82" s="36">
        <f>IF(OR($B82="",$C82="",$D82=""),"",SUMIFS('Schedule'!$D:$D,'Schedule'!$B:$B,$B82,'Schedule'!$E:$E,"Done",'Schedule'!$A:$A,"&gt;="&amp;$C82,'Schedule'!$A:$A,"&lt;="&amp;$D82,'Schedule'!$F:$F,"&lt;&gt;Yes"))</f>
        <v/>
      </c>
      <c r="G82" s="35" t="n"/>
      <c r="H82" s="35" t="n"/>
    </row>
    <row r="83">
      <c r="C83" s="35" t="n"/>
      <c r="D83" s="35" t="n"/>
      <c r="E83" s="36">
        <f>IF(OR($B83="",$C83="",$D83=""),"",SUMIFS('Schedule'!$D:$D,'Schedule'!$B:$B,$B83,'Schedule'!$E:$E,"Done",'Schedule'!$A:$A,"&gt;="&amp;$C83,'Schedule'!$A:$A,"&lt;="&amp;$D83))</f>
        <v/>
      </c>
      <c r="F83" s="36">
        <f>IF(OR($B83="",$C83="",$D83=""),"",SUMIFS('Schedule'!$D:$D,'Schedule'!$B:$B,$B83,'Schedule'!$E:$E,"Done",'Schedule'!$A:$A,"&gt;="&amp;$C83,'Schedule'!$A:$A,"&lt;="&amp;$D83,'Schedule'!$F:$F,"&lt;&gt;Yes"))</f>
        <v/>
      </c>
      <c r="G83" s="35" t="n"/>
      <c r="H83" s="35" t="n"/>
    </row>
    <row r="84">
      <c r="C84" s="35" t="n"/>
      <c r="D84" s="35" t="n"/>
      <c r="E84" s="36">
        <f>IF(OR($B84="",$C84="",$D84=""),"",SUMIFS('Schedule'!$D:$D,'Schedule'!$B:$B,$B84,'Schedule'!$E:$E,"Done",'Schedule'!$A:$A,"&gt;="&amp;$C84,'Schedule'!$A:$A,"&lt;="&amp;$D84))</f>
        <v/>
      </c>
      <c r="F84" s="36">
        <f>IF(OR($B84="",$C84="",$D84=""),"",SUMIFS('Schedule'!$D:$D,'Schedule'!$B:$B,$B84,'Schedule'!$E:$E,"Done",'Schedule'!$A:$A,"&gt;="&amp;$C84,'Schedule'!$A:$A,"&lt;="&amp;$D84,'Schedule'!$F:$F,"&lt;&gt;Yes"))</f>
        <v/>
      </c>
      <c r="G84" s="35" t="n"/>
      <c r="H84" s="35" t="n"/>
    </row>
    <row r="85">
      <c r="C85" s="35" t="n"/>
      <c r="D85" s="35" t="n"/>
      <c r="E85" s="36">
        <f>IF(OR($B85="",$C85="",$D85=""),"",SUMIFS('Schedule'!$D:$D,'Schedule'!$B:$B,$B85,'Schedule'!$E:$E,"Done",'Schedule'!$A:$A,"&gt;="&amp;$C85,'Schedule'!$A:$A,"&lt;="&amp;$D85))</f>
        <v/>
      </c>
      <c r="F85" s="36">
        <f>IF(OR($B85="",$C85="",$D85=""),"",SUMIFS('Schedule'!$D:$D,'Schedule'!$B:$B,$B85,'Schedule'!$E:$E,"Done",'Schedule'!$A:$A,"&gt;="&amp;$C85,'Schedule'!$A:$A,"&lt;="&amp;$D85,'Schedule'!$F:$F,"&lt;&gt;Yes"))</f>
        <v/>
      </c>
      <c r="G85" s="35" t="n"/>
      <c r="H85" s="35" t="n"/>
    </row>
    <row r="86">
      <c r="C86" s="35" t="n"/>
      <c r="D86" s="35" t="n"/>
      <c r="E86" s="36">
        <f>IF(OR($B86="",$C86="",$D86=""),"",SUMIFS('Schedule'!$D:$D,'Schedule'!$B:$B,$B86,'Schedule'!$E:$E,"Done",'Schedule'!$A:$A,"&gt;="&amp;$C86,'Schedule'!$A:$A,"&lt;="&amp;$D86))</f>
        <v/>
      </c>
      <c r="F86" s="36">
        <f>IF(OR($B86="",$C86="",$D86=""),"",SUMIFS('Schedule'!$D:$D,'Schedule'!$B:$B,$B86,'Schedule'!$E:$E,"Done",'Schedule'!$A:$A,"&gt;="&amp;$C86,'Schedule'!$A:$A,"&lt;="&amp;$D86,'Schedule'!$F:$F,"&lt;&gt;Yes"))</f>
        <v/>
      </c>
      <c r="G86" s="35" t="n"/>
      <c r="H86" s="35" t="n"/>
    </row>
    <row r="87">
      <c r="C87" s="35" t="n"/>
      <c r="D87" s="35" t="n"/>
      <c r="E87" s="36">
        <f>IF(OR($B87="",$C87="",$D87=""),"",SUMIFS('Schedule'!$D:$D,'Schedule'!$B:$B,$B87,'Schedule'!$E:$E,"Done",'Schedule'!$A:$A,"&gt;="&amp;$C87,'Schedule'!$A:$A,"&lt;="&amp;$D87))</f>
        <v/>
      </c>
      <c r="F87" s="36">
        <f>IF(OR($B87="",$C87="",$D87=""),"",SUMIFS('Schedule'!$D:$D,'Schedule'!$B:$B,$B87,'Schedule'!$E:$E,"Done",'Schedule'!$A:$A,"&gt;="&amp;$C87,'Schedule'!$A:$A,"&lt;="&amp;$D87,'Schedule'!$F:$F,"&lt;&gt;Yes"))</f>
        <v/>
      </c>
      <c r="G87" s="35" t="n"/>
      <c r="H87" s="35" t="n"/>
    </row>
    <row r="88">
      <c r="C88" s="35" t="n"/>
      <c r="D88" s="35" t="n"/>
      <c r="E88" s="36">
        <f>IF(OR($B88="",$C88="",$D88=""),"",SUMIFS('Schedule'!$D:$D,'Schedule'!$B:$B,$B88,'Schedule'!$E:$E,"Done",'Schedule'!$A:$A,"&gt;="&amp;$C88,'Schedule'!$A:$A,"&lt;="&amp;$D88))</f>
        <v/>
      </c>
      <c r="F88" s="36">
        <f>IF(OR($B88="",$C88="",$D88=""),"",SUMIFS('Schedule'!$D:$D,'Schedule'!$B:$B,$B88,'Schedule'!$E:$E,"Done",'Schedule'!$A:$A,"&gt;="&amp;$C88,'Schedule'!$A:$A,"&lt;="&amp;$D88,'Schedule'!$F:$F,"&lt;&gt;Yes"))</f>
        <v/>
      </c>
      <c r="G88" s="35" t="n"/>
      <c r="H88" s="35" t="n"/>
    </row>
    <row r="89">
      <c r="C89" s="35" t="n"/>
      <c r="D89" s="35" t="n"/>
      <c r="E89" s="36">
        <f>IF(OR($B89="",$C89="",$D89=""),"",SUMIFS('Schedule'!$D:$D,'Schedule'!$B:$B,$B89,'Schedule'!$E:$E,"Done",'Schedule'!$A:$A,"&gt;="&amp;$C89,'Schedule'!$A:$A,"&lt;="&amp;$D89))</f>
        <v/>
      </c>
      <c r="F89" s="36">
        <f>IF(OR($B89="",$C89="",$D89=""),"",SUMIFS('Schedule'!$D:$D,'Schedule'!$B:$B,$B89,'Schedule'!$E:$E,"Done",'Schedule'!$A:$A,"&gt;="&amp;$C89,'Schedule'!$A:$A,"&lt;="&amp;$D89,'Schedule'!$F:$F,"&lt;&gt;Yes"))</f>
        <v/>
      </c>
      <c r="G89" s="35" t="n"/>
      <c r="H89" s="35" t="n"/>
    </row>
    <row r="90">
      <c r="C90" s="35" t="n"/>
      <c r="D90" s="35" t="n"/>
      <c r="E90" s="36">
        <f>IF(OR($B90="",$C90="",$D90=""),"",SUMIFS('Schedule'!$D:$D,'Schedule'!$B:$B,$B90,'Schedule'!$E:$E,"Done",'Schedule'!$A:$A,"&gt;="&amp;$C90,'Schedule'!$A:$A,"&lt;="&amp;$D90))</f>
        <v/>
      </c>
      <c r="F90" s="36">
        <f>IF(OR($B90="",$C90="",$D90=""),"",SUMIFS('Schedule'!$D:$D,'Schedule'!$B:$B,$B90,'Schedule'!$E:$E,"Done",'Schedule'!$A:$A,"&gt;="&amp;$C90,'Schedule'!$A:$A,"&lt;="&amp;$D90,'Schedule'!$F:$F,"&lt;&gt;Yes"))</f>
        <v/>
      </c>
      <c r="G90" s="35" t="n"/>
      <c r="H90" s="35" t="n"/>
    </row>
    <row r="91">
      <c r="C91" s="35" t="n"/>
      <c r="D91" s="35" t="n"/>
      <c r="E91" s="36">
        <f>IF(OR($B91="",$C91="",$D91=""),"",SUMIFS('Schedule'!$D:$D,'Schedule'!$B:$B,$B91,'Schedule'!$E:$E,"Done",'Schedule'!$A:$A,"&gt;="&amp;$C91,'Schedule'!$A:$A,"&lt;="&amp;$D91))</f>
        <v/>
      </c>
      <c r="F91" s="36">
        <f>IF(OR($B91="",$C91="",$D91=""),"",SUMIFS('Schedule'!$D:$D,'Schedule'!$B:$B,$B91,'Schedule'!$E:$E,"Done",'Schedule'!$A:$A,"&gt;="&amp;$C91,'Schedule'!$A:$A,"&lt;="&amp;$D91,'Schedule'!$F:$F,"&lt;&gt;Yes"))</f>
        <v/>
      </c>
      <c r="G91" s="35" t="n"/>
      <c r="H91" s="35" t="n"/>
    </row>
    <row r="92">
      <c r="C92" s="35" t="n"/>
      <c r="D92" s="35" t="n"/>
      <c r="E92" s="36">
        <f>IF(OR($B92="",$C92="",$D92=""),"",SUMIFS('Schedule'!$D:$D,'Schedule'!$B:$B,$B92,'Schedule'!$E:$E,"Done",'Schedule'!$A:$A,"&gt;="&amp;$C92,'Schedule'!$A:$A,"&lt;="&amp;$D92))</f>
        <v/>
      </c>
      <c r="F92" s="36">
        <f>IF(OR($B92="",$C92="",$D92=""),"",SUMIFS('Schedule'!$D:$D,'Schedule'!$B:$B,$B92,'Schedule'!$E:$E,"Done",'Schedule'!$A:$A,"&gt;="&amp;$C92,'Schedule'!$A:$A,"&lt;="&amp;$D92,'Schedule'!$F:$F,"&lt;&gt;Yes"))</f>
        <v/>
      </c>
      <c r="G92" s="35" t="n"/>
      <c r="H92" s="35" t="n"/>
    </row>
    <row r="93">
      <c r="C93" s="35" t="n"/>
      <c r="D93" s="35" t="n"/>
      <c r="E93" s="36">
        <f>IF(OR($B93="",$C93="",$D93=""),"",SUMIFS('Schedule'!$D:$D,'Schedule'!$B:$B,$B93,'Schedule'!$E:$E,"Done",'Schedule'!$A:$A,"&gt;="&amp;$C93,'Schedule'!$A:$A,"&lt;="&amp;$D93))</f>
        <v/>
      </c>
      <c r="F93" s="36">
        <f>IF(OR($B93="",$C93="",$D93=""),"",SUMIFS('Schedule'!$D:$D,'Schedule'!$B:$B,$B93,'Schedule'!$E:$E,"Done",'Schedule'!$A:$A,"&gt;="&amp;$C93,'Schedule'!$A:$A,"&lt;="&amp;$D93,'Schedule'!$F:$F,"&lt;&gt;Yes"))</f>
        <v/>
      </c>
      <c r="G93" s="35" t="n"/>
      <c r="H93" s="35" t="n"/>
    </row>
    <row r="94">
      <c r="C94" s="35" t="n"/>
      <c r="D94" s="35" t="n"/>
      <c r="E94" s="36">
        <f>IF(OR($B94="",$C94="",$D94=""),"",SUMIFS('Schedule'!$D:$D,'Schedule'!$B:$B,$B94,'Schedule'!$E:$E,"Done",'Schedule'!$A:$A,"&gt;="&amp;$C94,'Schedule'!$A:$A,"&lt;="&amp;$D94))</f>
        <v/>
      </c>
      <c r="F94" s="36">
        <f>IF(OR($B94="",$C94="",$D94=""),"",SUMIFS('Schedule'!$D:$D,'Schedule'!$B:$B,$B94,'Schedule'!$E:$E,"Done",'Schedule'!$A:$A,"&gt;="&amp;$C94,'Schedule'!$A:$A,"&lt;="&amp;$D94,'Schedule'!$F:$F,"&lt;&gt;Yes"))</f>
        <v/>
      </c>
      <c r="G94" s="35" t="n"/>
      <c r="H94" s="35" t="n"/>
    </row>
    <row r="95">
      <c r="C95" s="35" t="n"/>
      <c r="D95" s="35" t="n"/>
      <c r="E95" s="36">
        <f>IF(OR($B95="",$C95="",$D95=""),"",SUMIFS('Schedule'!$D:$D,'Schedule'!$B:$B,$B95,'Schedule'!$E:$E,"Done",'Schedule'!$A:$A,"&gt;="&amp;$C95,'Schedule'!$A:$A,"&lt;="&amp;$D95))</f>
        <v/>
      </c>
      <c r="F95" s="36">
        <f>IF(OR($B95="",$C95="",$D95=""),"",SUMIFS('Schedule'!$D:$D,'Schedule'!$B:$B,$B95,'Schedule'!$E:$E,"Done",'Schedule'!$A:$A,"&gt;="&amp;$C95,'Schedule'!$A:$A,"&lt;="&amp;$D95,'Schedule'!$F:$F,"&lt;&gt;Yes"))</f>
        <v/>
      </c>
      <c r="G95" s="35" t="n"/>
      <c r="H95" s="35" t="n"/>
    </row>
    <row r="96">
      <c r="C96" s="35" t="n"/>
      <c r="D96" s="35" t="n"/>
      <c r="E96" s="36">
        <f>IF(OR($B96="",$C96="",$D96=""),"",SUMIFS('Schedule'!$D:$D,'Schedule'!$B:$B,$B96,'Schedule'!$E:$E,"Done",'Schedule'!$A:$A,"&gt;="&amp;$C96,'Schedule'!$A:$A,"&lt;="&amp;$D96))</f>
        <v/>
      </c>
      <c r="F96" s="36">
        <f>IF(OR($B96="",$C96="",$D96=""),"",SUMIFS('Schedule'!$D:$D,'Schedule'!$B:$B,$B96,'Schedule'!$E:$E,"Done",'Schedule'!$A:$A,"&gt;="&amp;$C96,'Schedule'!$A:$A,"&lt;="&amp;$D96,'Schedule'!$F:$F,"&lt;&gt;Yes"))</f>
        <v/>
      </c>
      <c r="G96" s="35" t="n"/>
      <c r="H96" s="35" t="n"/>
    </row>
    <row r="97">
      <c r="C97" s="35" t="n"/>
      <c r="D97" s="35" t="n"/>
      <c r="E97" s="36">
        <f>IF(OR($B97="",$C97="",$D97=""),"",SUMIFS('Schedule'!$D:$D,'Schedule'!$B:$B,$B97,'Schedule'!$E:$E,"Done",'Schedule'!$A:$A,"&gt;="&amp;$C97,'Schedule'!$A:$A,"&lt;="&amp;$D97))</f>
        <v/>
      </c>
      <c r="F97" s="36">
        <f>IF(OR($B97="",$C97="",$D97=""),"",SUMIFS('Schedule'!$D:$D,'Schedule'!$B:$B,$B97,'Schedule'!$E:$E,"Done",'Schedule'!$A:$A,"&gt;="&amp;$C97,'Schedule'!$A:$A,"&lt;="&amp;$D97,'Schedule'!$F:$F,"&lt;&gt;Yes"))</f>
        <v/>
      </c>
      <c r="G97" s="35" t="n"/>
      <c r="H97" s="35" t="n"/>
    </row>
    <row r="98">
      <c r="C98" s="35" t="n"/>
      <c r="D98" s="35" t="n"/>
      <c r="E98" s="36">
        <f>IF(OR($B98="",$C98="",$D98=""),"",SUMIFS('Schedule'!$D:$D,'Schedule'!$B:$B,$B98,'Schedule'!$E:$E,"Done",'Schedule'!$A:$A,"&gt;="&amp;$C98,'Schedule'!$A:$A,"&lt;="&amp;$D98))</f>
        <v/>
      </c>
      <c r="F98" s="36">
        <f>IF(OR($B98="",$C98="",$D98=""),"",SUMIFS('Schedule'!$D:$D,'Schedule'!$B:$B,$B98,'Schedule'!$E:$E,"Done",'Schedule'!$A:$A,"&gt;="&amp;$C98,'Schedule'!$A:$A,"&lt;="&amp;$D98,'Schedule'!$F:$F,"&lt;&gt;Yes"))</f>
        <v/>
      </c>
      <c r="G98" s="35" t="n"/>
      <c r="H98" s="35" t="n"/>
    </row>
    <row r="99">
      <c r="C99" s="35" t="n"/>
      <c r="D99" s="35" t="n"/>
      <c r="E99" s="36">
        <f>IF(OR($B99="",$C99="",$D99=""),"",SUMIFS('Schedule'!$D:$D,'Schedule'!$B:$B,$B99,'Schedule'!$E:$E,"Done",'Schedule'!$A:$A,"&gt;="&amp;$C99,'Schedule'!$A:$A,"&lt;="&amp;$D99))</f>
        <v/>
      </c>
      <c r="F99" s="36">
        <f>IF(OR($B99="",$C99="",$D99=""),"",SUMIFS('Schedule'!$D:$D,'Schedule'!$B:$B,$B99,'Schedule'!$E:$E,"Done",'Schedule'!$A:$A,"&gt;="&amp;$C99,'Schedule'!$A:$A,"&lt;="&amp;$D99,'Schedule'!$F:$F,"&lt;&gt;Yes"))</f>
        <v/>
      </c>
      <c r="G99" s="35" t="n"/>
      <c r="H99" s="35" t="n"/>
    </row>
    <row r="100">
      <c r="C100" s="35" t="n"/>
      <c r="D100" s="35" t="n"/>
      <c r="E100" s="36">
        <f>IF(OR($B100="",$C100="",$D100=""),"",SUMIFS('Schedule'!$D:$D,'Schedule'!$B:$B,$B100,'Schedule'!$E:$E,"Done",'Schedule'!$A:$A,"&gt;="&amp;$C100,'Schedule'!$A:$A,"&lt;="&amp;$D100))</f>
        <v/>
      </c>
      <c r="F100" s="36">
        <f>IF(OR($B100="",$C100="",$D100=""),"",SUMIFS('Schedule'!$D:$D,'Schedule'!$B:$B,$B100,'Schedule'!$E:$E,"Done",'Schedule'!$A:$A,"&gt;="&amp;$C100,'Schedule'!$A:$A,"&lt;="&amp;$D100,'Schedule'!$F:$F,"&lt;&gt;Yes"))</f>
        <v/>
      </c>
      <c r="G100" s="35" t="n"/>
      <c r="H100" s="35" t="n"/>
    </row>
  </sheetData>
  <conditionalFormatting sqref="A2:J100">
    <cfRule type="expression" priority="1" dxfId="2" stopIfTrue="1">
      <formula>$I2="Overdue"</formula>
    </cfRule>
    <cfRule type="expression" priority="2" dxfId="4" stopIfTrue="1">
      <formula>$I2="Paid"</formula>
    </cfRule>
    <cfRule type="expression" priority="3" dxfId="5" stopIfTrue="1">
      <formula>$I2="Sent"</formula>
    </cfRule>
  </conditionalFormatting>
  <dataValidations count="2">
    <dataValidation sqref="B2:B100" showDropDown="0" showInputMessage="0" showErrorMessage="0" allowBlank="1" type="list">
      <formula1>ClientList</formula1>
    </dataValidation>
    <dataValidation sqref="I2:I100" showDropDown="0" showInputMessage="0" showErrorMessage="0" allowBlank="1" type="list">
      <formula1>"Draft,Sent,Paid,Overdue"</formula1>
    </dataValidation>
  </dataValidations>
  <pageMargins left="0.75" right="0.75" top="1" bottom="1" header="0.5" footer="0.5"/>
</worksheet>
</file>

<file path=xl/worksheets/sheet7.xml><?xml version="1.0" encoding="utf-8"?>
<worksheet xmlns="http://schemas.openxmlformats.org/spreadsheetml/2006/main">
  <sheetPr>
    <tabColor rgb="004A7196"/>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4" customWidth="1" min="1" max="1"/>
    <col width="11" customWidth="1" min="2" max="2"/>
    <col width="14" customWidth="1" min="3" max="3"/>
    <col width="46" customWidth="1" min="4" max="4"/>
  </cols>
  <sheetData>
    <row r="1" ht="26" customHeight="1">
      <c r="A1" s="28" t="inlineStr">
        <is>
          <t>Service</t>
        </is>
      </c>
      <c r="B1" s="28" t="inlineStr">
        <is>
          <t>Rate ($)</t>
        </is>
      </c>
      <c r="C1" s="28" t="inlineStr">
        <is>
          <t>Unit / Time</t>
        </is>
      </c>
      <c r="D1" s="28" t="inlineStr">
        <is>
          <t>Notes</t>
        </is>
      </c>
    </row>
    <row r="2">
      <c r="A2" s="38" t="inlineStr">
        <is>
          <t>Standard Clean</t>
        </is>
      </c>
      <c r="B2" s="39" t="n">
        <v>120</v>
      </c>
      <c r="C2" s="38" t="inlineStr">
        <is>
          <t>Flat / ~3 hrs</t>
        </is>
      </c>
      <c r="D2" s="38" t="inlineStr">
        <is>
          <t>Kitchen, baths, floors, dusting, trash — a maintained home</t>
        </is>
      </c>
    </row>
    <row r="3">
      <c r="A3" s="38" t="inlineStr">
        <is>
          <t>Deep Clean</t>
        </is>
      </c>
      <c r="B3" s="39" t="n">
        <v>250</v>
      </c>
      <c r="C3" s="38" t="inlineStr">
        <is>
          <t>Flat / 5-6 hrs</t>
        </is>
      </c>
      <c r="D3" s="38" t="inlineStr">
        <is>
          <t>Baseboards, inside windows, cabinet fronts, scrub build-up</t>
        </is>
      </c>
    </row>
    <row r="4">
      <c r="A4" s="38" t="inlineStr">
        <is>
          <t>Move-Out / Move-In</t>
        </is>
      </c>
      <c r="B4" s="39" t="n">
        <v>320</v>
      </c>
      <c r="C4" s="38" t="inlineStr">
        <is>
          <t>Flat / 6-8 hrs</t>
        </is>
      </c>
      <c r="D4" s="38" t="inlineStr">
        <is>
          <t>Empty home: inside cabinets, oven, fridge, closets, windows</t>
        </is>
      </c>
    </row>
    <row r="5">
      <c r="A5" s="38" t="inlineStr">
        <is>
          <t>Recurring Clean</t>
        </is>
      </c>
      <c r="B5" s="39" t="n">
        <v>100</v>
      </c>
      <c r="C5" s="38" t="inlineStr">
        <is>
          <t>Per visit</t>
        </is>
      </c>
      <c r="D5" s="38" t="inlineStr">
        <is>
          <t>Standard clean for weekly / biweekly / monthly regulars</t>
        </is>
      </c>
    </row>
    <row r="6">
      <c r="A6" s="38" t="inlineStr">
        <is>
          <t>Hourly</t>
        </is>
      </c>
      <c r="B6" s="39" t="n">
        <v>45</v>
      </c>
      <c r="C6" s="38" t="inlineStr">
        <is>
          <t>Per hour</t>
        </is>
      </c>
      <c r="D6" s="38" t="inlineStr">
        <is>
          <t>Odd jobs or unknown scope — bill the actual time worked</t>
        </is>
      </c>
    </row>
    <row r="7">
      <c r="A7" s="38" t="inlineStr">
        <is>
          <t>Add-on: Inside Fridge</t>
        </is>
      </c>
      <c r="B7" s="39" t="n">
        <v>35</v>
      </c>
      <c r="C7" s="38" t="inlineStr">
        <is>
          <t>Per item</t>
        </is>
      </c>
      <c r="D7" s="38" t="inlineStr">
        <is>
          <t>Empty, wipe and sanitize the interior</t>
        </is>
      </c>
    </row>
    <row r="8">
      <c r="A8" s="38" t="inlineStr">
        <is>
          <t>Add-on: Inside Oven</t>
        </is>
      </c>
      <c r="B8" s="39" t="n">
        <v>35</v>
      </c>
      <c r="C8" s="38" t="inlineStr">
        <is>
          <t>Per item</t>
        </is>
      </c>
      <c r="D8" s="38" t="inlineStr">
        <is>
          <t>Degrease racks and interior</t>
        </is>
      </c>
    </row>
    <row r="9">
      <c r="A9" s="38" t="inlineStr">
        <is>
          <t>Add-on: Interior Windows</t>
        </is>
      </c>
      <c r="B9" s="39" t="n">
        <v>45</v>
      </c>
      <c r="C9" s="38" t="inlineStr">
        <is>
          <t>Per item</t>
        </is>
      </c>
      <c r="D9" s="38" t="inlineStr">
        <is>
          <t>Interior glass + sills, standard home</t>
        </is>
      </c>
    </row>
    <row r="10">
      <c r="A10" s="38" t="inlineStr">
        <is>
          <t>Add-on: Inside Cabinets</t>
        </is>
      </c>
      <c r="B10" s="39" t="n">
        <v>40</v>
      </c>
      <c r="C10" s="38" t="inlineStr">
        <is>
          <t>Per item</t>
        </is>
      </c>
      <c r="D10" s="38" t="inlineStr">
        <is>
          <t>Empty kitchen cabinets wiped inside</t>
        </is>
      </c>
    </row>
    <row r="11">
      <c r="A11" s="38" t="inlineStr">
        <is>
          <t>Add-on: Laundry / Linens</t>
        </is>
      </c>
      <c r="B11" s="39" t="n">
        <v>25</v>
      </c>
      <c r="C11" s="38" t="inlineStr">
        <is>
          <t>Per load</t>
        </is>
      </c>
      <c r="D11" s="38" t="inlineStr">
        <is>
          <t>Wash, dry and fold, or strip &amp; remake beds</t>
        </is>
      </c>
    </row>
    <row r="12">
      <c r="B12" s="31" t="n"/>
    </row>
    <row r="13">
      <c r="B13" s="31" t="n"/>
    </row>
    <row r="14">
      <c r="B14" s="31" t="n"/>
    </row>
    <row r="15">
      <c r="B15" s="31" t="n"/>
    </row>
    <row r="16">
      <c r="B16" s="31" t="n"/>
    </row>
    <row r="17">
      <c r="B17" s="31" t="n"/>
    </row>
    <row r="18">
      <c r="B18" s="31" t="n"/>
    </row>
    <row r="19">
      <c r="B19" s="31" t="n"/>
    </row>
    <row r="20">
      <c r="B20" s="31" t="n"/>
    </row>
    <row r="21">
      <c r="B21" s="31" t="n"/>
    </row>
    <row r="22">
      <c r="B22" s="31" t="n"/>
    </row>
    <row r="23">
      <c r="B23" s="31" t="n"/>
    </row>
    <row r="24">
      <c r="B24" s="31" t="n"/>
    </row>
    <row r="25">
      <c r="B25" s="31" t="n"/>
    </row>
    <row r="26">
      <c r="B26" s="31" t="n"/>
    </row>
    <row r="27">
      <c r="B27" s="31" t="n"/>
    </row>
    <row r="28">
      <c r="B28" s="31" t="n"/>
    </row>
    <row r="29">
      <c r="B29" s="31" t="n"/>
    </row>
    <row r="30">
      <c r="B30" s="31" t="n"/>
    </row>
    <row r="32">
      <c r="A32" s="40" t="inlineStr">
        <is>
          <t>Edit names and rates freely — the Schedule tab looks prices up from this list automatically. Service names here must match the dropdown picks exactly (they will, if you always pick from the dropdown).</t>
        </is>
      </c>
    </row>
  </sheetData>
  <mergeCells count="1">
    <mergeCell ref="A32:D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2026-07-08T13:21:57Z</dcterms:created>
  <dcterms:modified xsi:type="dcterms:W3CDTF">2026-07-08T13:21:58Z</dcterms:modified>
</cp:coreProperties>
</file>