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Clients" sheetId="3" state="visible" r:id="rId3"/>
    <sheet name="Pets" sheetId="4" state="visible" r:id="rId4"/>
    <sheet name="Appointments" sheetId="5" state="visible" r:id="rId5"/>
    <sheet name="Invoices &amp; Payments" sheetId="6" state="visible" r:id="rId6"/>
    <sheet name="Services &amp; Rates" sheetId="7" state="visible" r:id="rId7"/>
  </sheets>
  <definedNames>
    <definedName name="ClientList">'Clients'!$A$2:$A$200</definedName>
    <definedName name="ServiceList">'Services &amp; Rates'!$A$2:$A$30</definedName>
  </definedNames>
  <calcPr calcId="124519" fullCalcOnLoad="1"/>
</workbook>
</file>

<file path=xl/styles.xml><?xml version="1.0" encoding="utf-8"?>
<styleSheet xmlns="http://schemas.openxmlformats.org/spreadsheetml/2006/main">
  <numFmts count="2">
    <numFmt numFmtId="164" formatCode="&quot;$&quot;#,##0.00"/>
    <numFmt numFmtId="165" formatCode="mm/dd/yyyy"/>
  </numFmts>
  <fonts count="15">
    <font>
      <name val="Calibri"/>
      <family val="2"/>
      <color theme="1"/>
      <sz val="11"/>
      <scheme val="minor"/>
    </font>
    <font>
      <b val="1"/>
      <color rgb="00FFFFFF"/>
      <sz val="16"/>
    </font>
    <font>
      <color rgb="00322C30"/>
      <sz val="11"/>
    </font>
    <font>
      <b val="1"/>
      <color rgb="00FFFFFF"/>
      <sz val="12"/>
    </font>
    <font>
      <i val="1"/>
      <color rgb="00322C30"/>
      <sz val="11"/>
    </font>
    <font>
      <i val="1"/>
      <color rgb="006D6D6D"/>
      <sz val="10"/>
    </font>
    <font>
      <b val="1"/>
      <color rgb="00FFFFFF"/>
      <sz val="9"/>
    </font>
    <font>
      <b val="1"/>
      <color rgb="00322C30"/>
      <sz val="22"/>
    </font>
    <font>
      <b val="1"/>
      <color rgb="009D6B7B"/>
      <sz val="10"/>
    </font>
    <font>
      <b val="1"/>
      <color rgb="009D6B7B"/>
      <sz val="11"/>
    </font>
    <font>
      <i val="1"/>
      <color rgb="006D6D6D"/>
      <sz val="8"/>
    </font>
    <font>
      <color rgb="006D6D6D"/>
      <sz val="8"/>
    </font>
    <font>
      <i val="1"/>
      <color rgb="006D6D6D"/>
      <sz val="9"/>
    </font>
    <font>
      <name val="Calibri"/>
      <b val="1"/>
      <color rgb="00FFFFFF"/>
      <sz val="11"/>
    </font>
    <font>
      <name val="Calibri"/>
      <i val="1"/>
      <color rgb="006D6D6D"/>
      <sz val="11"/>
    </font>
  </fonts>
  <fills count="10">
    <fill>
      <patternFill/>
    </fill>
    <fill>
      <patternFill patternType="gray125"/>
    </fill>
    <fill>
      <patternFill patternType="solid">
        <fgColor rgb="00322C30"/>
      </patternFill>
    </fill>
    <fill>
      <patternFill patternType="solid">
        <fgColor rgb="00FBF9F7"/>
      </patternFill>
    </fill>
    <fill>
      <patternFill patternType="solid">
        <fgColor rgb="009D6B7B"/>
      </patternFill>
    </fill>
    <fill>
      <patternFill patternType="solid">
        <fgColor rgb="00F2EEEF"/>
      </patternFill>
    </fill>
    <fill>
      <patternFill patternType="solid">
        <fgColor rgb="00F2E4E8"/>
      </patternFill>
    </fill>
    <fill>
      <patternFill patternType="solid">
        <fgColor rgb="00413A3E"/>
      </patternFill>
    </fill>
    <fill>
      <patternFill patternType="solid">
        <fgColor rgb="00F8F1F3"/>
      </patternFill>
    </fill>
    <fill>
      <patternFill patternType="solid">
        <fgColor rgb="00FFFFFF"/>
      </patternFill>
    </fill>
  </fills>
  <borders count="2">
    <border>
      <left/>
      <right/>
      <top/>
      <bottom/>
      <diagonal/>
    </border>
    <border>
      <left style="thin">
        <color rgb="00E0D6D9"/>
      </left>
      <right style="thin">
        <color rgb="00E0D6D9"/>
      </right>
      <top style="thin">
        <color rgb="00E0D6D9"/>
      </top>
      <bottom style="thin">
        <color rgb="00E0D6D9"/>
      </bottom>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top" wrapText="1" indent="1"/>
    </xf>
    <xf numFmtId="0" fontId="3" fillId="4" borderId="0" applyAlignment="1" pivotButton="0" quotePrefix="0" xfId="0">
      <alignment vertical="center" indent="1"/>
    </xf>
    <xf numFmtId="0" fontId="2" fillId="5" borderId="0" applyAlignment="1" pivotButton="0" quotePrefix="0" xfId="0">
      <alignment vertical="top" wrapText="1" indent="1"/>
    </xf>
    <xf numFmtId="0" fontId="4" fillId="3" borderId="0" applyAlignment="1" pivotButton="0" quotePrefix="0" xfId="0">
      <alignment vertical="top" wrapText="1" indent="1"/>
    </xf>
    <xf numFmtId="0" fontId="1" fillId="2" borderId="0" applyAlignment="1" pivotButton="0" quotePrefix="0" xfId="0">
      <alignment horizontal="center" vertical="center"/>
    </xf>
    <xf numFmtId="0" fontId="0" fillId="2" borderId="0" pivotButton="0" quotePrefix="0" xfId="0"/>
    <xf numFmtId="0" fontId="5" fillId="0" borderId="0" pivotButton="0" quotePrefix="0" xfId="0"/>
    <xf numFmtId="0" fontId="6" fillId="4" borderId="0" applyAlignment="1" pivotButton="0" quotePrefix="0" xfId="0">
      <alignment horizontal="center" vertical="center"/>
    </xf>
    <xf numFmtId="0" fontId="0" fillId="4" borderId="0" pivotButton="0" quotePrefix="0" xfId="0"/>
    <xf numFmtId="1" fontId="7" fillId="6" borderId="0" applyAlignment="1" pivotButton="0" quotePrefix="0" xfId="0">
      <alignment horizontal="center" vertical="center"/>
    </xf>
    <xf numFmtId="0" fontId="0" fillId="6" borderId="0" pivotButton="0" quotePrefix="0" xfId="0"/>
    <xf numFmtId="164" fontId="7" fillId="6" borderId="0" applyAlignment="1" pivotButton="0" quotePrefix="0" xfId="0">
      <alignment horizontal="center" vertical="center"/>
    </xf>
    <xf numFmtId="0" fontId="3" fillId="7" borderId="0" applyAlignment="1" pivotButton="0" quotePrefix="0" xfId="0">
      <alignment horizontal="left" vertical="center" indent="1"/>
    </xf>
    <xf numFmtId="0" fontId="0" fillId="7" borderId="0" pivotButton="0" quotePrefix="0" xfId="0"/>
    <xf numFmtId="0" fontId="8" fillId="8" borderId="0" pivotButton="0" quotePrefix="0" xfId="0"/>
    <xf numFmtId="0" fontId="10" fillId="0" borderId="0" pivotButton="0" quotePrefix="0" xfId="0"/>
    <xf numFmtId="0" fontId="0" fillId="8" borderId="0" applyAlignment="1" pivotButton="0" quotePrefix="0" xfId="0">
      <alignment horizontal="center"/>
    </xf>
    <xf numFmtId="0" fontId="2" fillId="8" borderId="0" pivotButton="0" quotePrefix="0" xfId="0"/>
    <xf numFmtId="0" fontId="0" fillId="8" borderId="0" pivotButton="0" quotePrefix="0" xfId="0"/>
    <xf numFmtId="164" fontId="9" fillId="8" borderId="0" pivotButton="0" quotePrefix="0" xfId="0"/>
    <xf numFmtId="0" fontId="11" fillId="0" borderId="0" pivotButton="0" quotePrefix="0" xfId="0"/>
    <xf numFmtId="0" fontId="0" fillId="9" borderId="0" applyAlignment="1" pivotButton="0" quotePrefix="0" xfId="0">
      <alignment horizontal="center"/>
    </xf>
    <xf numFmtId="0" fontId="2" fillId="9" borderId="0" pivotButton="0" quotePrefix="0" xfId="0"/>
    <xf numFmtId="0" fontId="0" fillId="9" borderId="0" pivotButton="0" quotePrefix="0" xfId="0"/>
    <xf numFmtId="164" fontId="9" fillId="9" borderId="0" pivotButton="0" quotePrefix="0" xfId="0"/>
    <xf numFmtId="0" fontId="12" fillId="0" borderId="0" pivotButton="0" quotePrefix="0" xfId="0"/>
    <xf numFmtId="0" fontId="13" fillId="7" borderId="0" applyAlignment="1" pivotButton="0" quotePrefix="0" xfId="0">
      <alignment horizontal="center" vertical="center" wrapText="1"/>
    </xf>
    <xf numFmtId="0" fontId="14" fillId="0" borderId="0" pivotButton="0" quotePrefix="0" xfId="0"/>
    <xf numFmtId="165" fontId="14" fillId="0" borderId="0" pivotButton="0" quotePrefix="0" xfId="0"/>
    <xf numFmtId="164" fontId="14" fillId="5" borderId="0" pivotButton="0" quotePrefix="0" xfId="0"/>
    <xf numFmtId="165" fontId="14" fillId="5" borderId="0" pivotButton="0" quotePrefix="0" xfId="0"/>
    <xf numFmtId="165" fontId="0" fillId="0" borderId="0" pivotButton="0" quotePrefix="0" xfId="0"/>
    <xf numFmtId="164" fontId="0" fillId="5" borderId="0" pivotButton="0" quotePrefix="0" xfId="0"/>
    <xf numFmtId="165" fontId="0" fillId="5" borderId="0" pivotButton="0" quotePrefix="0" xfId="0"/>
    <xf numFmtId="0" fontId="0" fillId="0" borderId="1" pivotButton="0" quotePrefix="0" xfId="0"/>
    <xf numFmtId="164" fontId="0" fillId="0" borderId="1" pivotButton="0" quotePrefix="0" xfId="0"/>
    <xf numFmtId="164" fontId="0" fillId="0" borderId="0" pivotButton="0" quotePrefix="0" xfId="0"/>
    <xf numFmtId="0" fontId="5" fillId="0" borderId="0" applyAlignment="1" pivotButton="0" quotePrefix="0" xfId="0">
      <alignment vertical="top" wrapText="1"/>
    </xf>
  </cellXfs>
  <cellStyles count="1">
    <cellStyle name="Normal" xfId="0" builtinId="0" hidden="0"/>
  </cellStyles>
  <dxfs count="6">
    <dxf>
      <font>
        <b val="1"/>
        <color rgb="003E6B47"/>
      </font>
      <fill>
        <patternFill patternType="solid">
          <fgColor rgb="00DDEBD8"/>
        </patternFill>
      </fill>
    </dxf>
    <dxf>
      <font>
        <b val="1"/>
        <color rgb="008A6116"/>
      </font>
      <fill>
        <patternFill patternType="solid">
          <fgColor rgb="00FBEFD0"/>
        </patternFill>
      </fill>
    </dxf>
    <dxf>
      <font>
        <color rgb="009C2B23"/>
      </font>
      <fill>
        <patternFill patternType="solid">
          <fgColor rgb="00F6D9D5"/>
        </patternFill>
      </fill>
    </dxf>
    <dxf>
      <font>
        <b val="1"/>
        <color rgb="00322C30"/>
      </font>
      <fill>
        <patternFill patternType="solid">
          <fgColor rgb="00F2E4E8"/>
        </patternFill>
      </fill>
    </dxf>
    <dxf>
      <font>
        <color rgb="003E6B47"/>
      </font>
      <fill>
        <patternFill patternType="solid">
          <fgColor rgb="00DDEBD8"/>
        </patternFill>
      </fill>
    </dxf>
    <dxf>
      <font>
        <color rgb="008A6116"/>
      </font>
      <fill>
        <patternFill patternType="solid">
          <fgColor rgb="00FBEF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D6B7B"/>
    <outlinePr summaryBelow="1" summaryRight="1"/>
    <pageSetUpPr/>
  </sheetPr>
  <dimension ref="B2:B30"/>
  <sheetViews>
    <sheetView showGridLines="0" workbookViewId="0">
      <selection activeCell="A1" sqref="A1"/>
    </sheetView>
  </sheetViews>
  <sheetFormatPr baseColWidth="8" defaultRowHeight="15"/>
  <cols>
    <col width="3" customWidth="1" min="1" max="1"/>
    <col width="100" customWidth="1" min="2" max="2"/>
    <col width="3" customWidth="1" min="3" max="3"/>
  </cols>
  <sheetData>
    <row r="2" ht="34" customHeight="1">
      <c r="B2" s="1" t="inlineStr">
        <is>
          <t>WELCOME TO YOUR DOG GROOMER CLIENT CRM</t>
        </is>
      </c>
    </row>
    <row r="3" ht="44" customHeight="1">
      <c r="B3" s="2" t="inlineStr">
        <is>
          <t>Made for dog groomers and grooming salons. Everything your business needs — clients, dogs, cut &amp; style history, coat details, behavior warnings, appointments and money — in one place. No apps, no monthly software fee, nothing to install.</t>
        </is>
      </c>
    </row>
    <row r="5" ht="24" customHeight="1">
      <c r="B5" s="3" t="inlineStr">
        <is>
          <t>STEP 1 — MAKE YOUR OWN COPY (do this first!)</t>
        </is>
      </c>
    </row>
    <row r="6" ht="58" customHeight="1">
      <c r="B6" s="2" t="inlineStr">
        <is>
          <t>USING GOOGLE SHEETS (free):  1. Go to sheets.google.com and sign in.  2. Click the folder icon (Open file picker), choose "Upload", and drop this file in.  3. It opens right in Google Sheets — then click File &gt; Save as Google Sheets so it lives in your Drive forever.</t>
        </is>
      </c>
    </row>
    <row r="7" ht="28" customHeight="1">
      <c r="B7" s="2" t="inlineStr">
        <is>
          <t>USING EXCEL:  just open the file and File &gt; Save As with your business name. Done.</t>
        </is>
      </c>
    </row>
    <row r="9" ht="24" customHeight="1">
      <c r="B9" s="3" t="inlineStr">
        <is>
          <t>STEP 2 — KNOW YOUR COLORS</t>
        </is>
      </c>
    </row>
    <row r="10" ht="20" customHeight="1">
      <c r="B10" s="2" t="inlineStr">
        <is>
          <t>WHITE cells = yours. Type anything.</t>
        </is>
      </c>
    </row>
    <row r="11" ht="44" customHeight="1">
      <c r="B11" s="4" t="inlineStr">
        <is>
          <t>LIGHT GRAY cells = the spreadsheet's. They calculate themselves (rates, invoice totals, rebook due dates, the whole Dashboard). Don't type in them — if you ever do by accident, just press Ctrl+Z (Cmd+Z on Mac).</t>
        </is>
      </c>
    </row>
    <row r="12" ht="30" customHeight="1">
      <c r="B12" s="2" t="inlineStr">
        <is>
          <t>Cells with a little arrow = dropdowns. Click the arrow and pick — never type these by hand, so names always match everywhere.</t>
        </is>
      </c>
    </row>
    <row r="14" ht="24" customHeight="1">
      <c r="B14" s="3" t="inlineStr">
        <is>
          <t>STEP 3 — SET UP IN THIS ORDER</t>
        </is>
      </c>
    </row>
    <row r="15" ht="44" customHeight="1">
      <c r="B15" s="2" t="inlineStr">
        <is>
          <t>1. SERVICES &amp; RATES — change the service names and prices to yours (full grooms by size, bath &amp; brush, de-shed, nail trims). The Appointments tab fills in prices from this list automatically.</t>
        </is>
      </c>
    </row>
    <row r="16" ht="30" customHeight="1">
      <c r="B16" s="2" t="inlineStr">
        <is>
          <t>2. CLIENTS — one row per owner. Phone, email, preferred contact, emergency contact, vet clinic and status all live here.</t>
        </is>
      </c>
    </row>
    <row r="17" ht="88" customHeight="1">
      <c r="B17" s="2" t="inlineStr">
        <is>
          <t>3. PETS — one row per dog, and this tab is the whole point: coat type, last cut notes and exactly what the owner asked for, the blade and comb lengths you used, shampoo, skin conditions, matting spots, and ear / nail / gland preferences. Next visit, you open one row and you know the dog. Tip: type the word CAUTION anywhere in "Behavior Notes" and the whole row turns red — no one on your table gets surprised by a bite risk.</t>
        </is>
      </c>
    </row>
    <row r="18" ht="88" customHeight="1">
      <c r="B18" s="2" t="inlineStr">
        <is>
          <t>4. APPOINTMENTS — one row per groom. Pick client and service from dropdowns; the rate appears by itself. Mark Status = Done when finished and Paid? = Yes when the money arrives. Today's appointments glow rose; finished-but-unpaid turn red. Type the rebook interval in weeks (most dogs: 4-8) and the "Next Groom Due" date calculates itself — it turns amber when it's time to call the client and rebook.</t>
        </is>
      </c>
    </row>
    <row r="19" ht="44" customHeight="1">
      <c r="B19" s="2" t="inlineStr">
        <is>
          <t>5. INVOICES &amp; PAYMENTS — type an invoice number, pick the client, and type the period start and end dates. The totals add themselves up from the Appointments tab (completed grooms in that period; Balance Due counts only the unpaid ones).</t>
        </is>
      </c>
    </row>
    <row r="21" ht="24" customHeight="1">
      <c r="B21" s="3" t="inlineStr">
        <is>
          <t>THE SAMPLE ROWS</t>
        </is>
      </c>
    </row>
    <row r="22" ht="72" customHeight="1">
      <c r="B22" s="2" t="inlineStr">
        <is>
          <t>The gray italic rows (Amanda Foster, Derek Okafor, Priya Raman... and their dogs Murphy, Luna, Taco, Bella) are examples so you can see how everything works — including the red CAUTION row and the amber rebook reminder. When you're ready: click the row number on the left, drag to select the sample rows, right-click, and choose "Delete rows". The formulas and dropdowns stay — only the example text goes.</t>
        </is>
      </c>
    </row>
    <row r="24" ht="24" customHeight="1">
      <c r="B24" s="3" t="inlineStr">
        <is>
          <t>ADDING MORE ROWS LATER</t>
        </is>
      </c>
    </row>
    <row r="25" ht="58" customHeight="1">
      <c r="B25" s="2" t="inlineStr">
        <is>
          <t>Formulas and dropdowns are already loaded far down each tab (Appointments to row 250, Invoices to row 100, Clients to row 200, Pets to row 300). Just keep typing on the next empty line. If you ever fill a tab completely: select the last row, copy it, and paste it into the rows below — that carries the formulas down too.</t>
        </is>
      </c>
    </row>
    <row r="27" ht="24" customHeight="1">
      <c r="B27" s="3" t="inlineStr">
        <is>
          <t>THE DASHBOARD</t>
        </is>
      </c>
    </row>
    <row r="28" ht="44" customHeight="1">
      <c r="B28" s="2" t="inlineStr">
        <is>
          <t>100% automatic. Active clients, dogs groomed this month, this week's appointments, today's appointments, unpaid balance, this month's revenue and your top clients — it all updates the moment you edit the other tabs.</t>
        </is>
      </c>
    </row>
    <row r="30">
      <c r="B30" s="5" t="inlineStr">
        <is>
          <t xml:space="preserve">Questions? Message me on Etsy any time — happy to help.  Enjoy! </t>
        </is>
      </c>
    </row>
  </sheetData>
  <pageMargins left="0.75" right="0.75" top="1" bottom="1" header="0.5" footer="0.5"/>
</worksheet>
</file>

<file path=xl/worksheets/sheet2.xml><?xml version="1.0" encoding="utf-8"?>
<worksheet xmlns="http://schemas.openxmlformats.org/spreadsheetml/2006/main">
  <sheetPr>
    <tabColor rgb="00322C30"/>
    <outlinePr summaryBelow="1" summaryRight="1"/>
    <pageSetUpPr/>
  </sheetPr>
  <dimension ref="B2:P33"/>
  <sheetViews>
    <sheetView showGridLines="0" workbookViewId="0">
      <selection activeCell="A1" sqref="A1"/>
    </sheetView>
  </sheetViews>
  <sheetFormatPr baseColWidth="8" defaultRowHeight="15"/>
  <cols>
    <col width="2" customWidth="1" min="1" max="1"/>
    <col width="13" customWidth="1" min="2" max="2"/>
    <col width="13" customWidth="1" min="3" max="3"/>
    <col width="2" customWidth="1" min="4" max="4"/>
    <col width="13" customWidth="1" min="5" max="5"/>
    <col width="13" customWidth="1" min="6" max="6"/>
    <col width="2" customWidth="1" min="7" max="7"/>
    <col width="13" customWidth="1" min="8" max="8"/>
    <col width="13" customWidth="1" min="9" max="9"/>
    <col width="2" customWidth="1" min="10" max="10"/>
    <col hidden="1" width="12" customWidth="1" min="15" max="15"/>
    <col hidden="1" width="18" customWidth="1" min="16" max="16"/>
  </cols>
  <sheetData>
    <row r="2" ht="30" customHeight="1">
      <c r="B2" s="6" t="inlineStr">
        <is>
          <t>DOG GROOMER CLIENT CRM  —  DASHBOARD</t>
        </is>
      </c>
      <c r="C2" s="7" t="n"/>
      <c r="D2" s="7" t="n"/>
      <c r="E2" s="7" t="n"/>
      <c r="F2" s="7" t="n"/>
      <c r="G2" s="7" t="n"/>
      <c r="H2" s="7" t="n"/>
      <c r="I2" s="7" t="n"/>
    </row>
    <row r="3">
      <c r="B3" s="8">
        <f>"Everything on this page updates itself — nothing to type here.  Today: "&amp;TEXT(TODAY(),"mmm d, yyyy")</f>
        <v/>
      </c>
    </row>
    <row r="5">
      <c r="B5" s="9" t="inlineStr">
        <is>
          <t>ACTIVE CLIENTS</t>
        </is>
      </c>
      <c r="C5" s="10" t="n"/>
      <c r="E5" s="9" t="inlineStr">
        <is>
          <t>DOGS GROOMED THIS MONTH</t>
        </is>
      </c>
      <c r="F5" s="10" t="n"/>
      <c r="H5" s="9" t="inlineStr">
        <is>
          <t>APPOINTMENTS THIS WEEK</t>
        </is>
      </c>
      <c r="I5" s="10" t="n"/>
    </row>
    <row r="6" ht="40" customHeight="1">
      <c r="B6" s="11">
        <f>COUNTIF('Clients'!$H:$H,"Active")</f>
        <v/>
      </c>
      <c r="C6" s="12" t="n"/>
      <c r="E6" s="11">
        <f>COUNTIFS('Appointments'!$F:$F,"Done",'Appointments'!$A:$A,"&gt;="&amp;DATE(YEAR(TODAY()),MONTH(TODAY()),1),'Appointments'!$A:$A,"&lt;"&amp;DATE(YEAR(TODAY()),MONTH(TODAY())+1,1))</f>
        <v/>
      </c>
      <c r="F6" s="12" t="n"/>
      <c r="H6" s="11">
        <f>COUNTIFS('Appointments'!$A:$A,"&gt;="&amp;(TODAY()-WEEKDAY(TODAY(),2)+1),'Appointments'!$A:$A,"&lt;="&amp;(TODAY()-WEEKDAY(TODAY(),2)+1)+6,'Appointments'!$F:$F,"&lt;&gt;Cancelled")</f>
        <v/>
      </c>
      <c r="I6" s="12" t="n"/>
    </row>
    <row r="8">
      <c r="B8" s="9" t="inlineStr">
        <is>
          <t>APPOINTMENTS TODAY</t>
        </is>
      </c>
      <c r="C8" s="10" t="n"/>
      <c r="E8" s="9" t="inlineStr">
        <is>
          <t>REVENUE THIS MONTH</t>
        </is>
      </c>
      <c r="F8" s="10" t="n"/>
      <c r="H8" s="9" t="inlineStr">
        <is>
          <t>UNPAID BALANCE</t>
        </is>
      </c>
      <c r="I8" s="10" t="n"/>
    </row>
    <row r="9" ht="40" customHeight="1">
      <c r="B9" s="11">
        <f>COUNTIFS('Appointments'!$A:$A,TODAY(),'Appointments'!$F:$F,"&lt;&gt;Cancelled")</f>
        <v/>
      </c>
      <c r="C9" s="12" t="n"/>
      <c r="E9" s="13">
        <f>SUMIFS('Appointments'!$E:$E,'Appointments'!$F:$F,"Done",'Appointments'!$A:$A,"&gt;="&amp;DATE(YEAR(TODAY()),MONTH(TODAY()),1),'Appointments'!$A:$A,"&lt;"&amp;DATE(YEAR(TODAY()),MONTH(TODAY())+1,1))</f>
        <v/>
      </c>
      <c r="F9" s="12" t="n"/>
      <c r="H9" s="13">
        <f>SUMIFS('Appointments'!$E:$E,'Appointments'!$F:$F,"Done",'Appointments'!$G:$G,"&lt;&gt;Yes")</f>
        <v/>
      </c>
      <c r="I9" s="12" t="n"/>
    </row>
    <row r="12" ht="22" customHeight="1">
      <c r="B12" s="14" t="inlineStr">
        <is>
          <t>TOP CLIENTS  (completed appointments, all time)</t>
        </is>
      </c>
      <c r="C12" s="15" t="n"/>
      <c r="D12" s="15" t="n"/>
      <c r="E12" s="15" t="n"/>
      <c r="F12" s="15" t="n"/>
      <c r="G12" s="15" t="n"/>
      <c r="H12" s="15" t="n"/>
      <c r="I12" s="15" t="n"/>
    </row>
    <row r="13">
      <c r="B13" s="16" t="inlineStr">
        <is>
          <t>Rank</t>
        </is>
      </c>
      <c r="C13" s="16" t="inlineStr">
        <is>
          <t>Client</t>
        </is>
      </c>
      <c r="H13" s="16" t="inlineStr">
        <is>
          <t>Revenue</t>
        </is>
      </c>
      <c r="O13" s="17" t="inlineStr">
        <is>
          <t>engine ↓</t>
        </is>
      </c>
      <c r="P13" s="17" t="inlineStr">
        <is>
          <t>do not edit</t>
        </is>
      </c>
    </row>
    <row r="14">
      <c r="B14" s="18" t="n">
        <v>1</v>
      </c>
      <c r="C14" s="19">
        <f>IFERROR(INDEX($P$14:$P$33,MATCH(LARGE($O$14:$O$33,1),$O$14:$O$33,0)),"—")</f>
        <v/>
      </c>
      <c r="D14" s="20" t="n"/>
      <c r="E14" s="20" t="n"/>
      <c r="F14" s="20" t="n"/>
      <c r="G14" s="20" t="n"/>
      <c r="H14" s="21">
        <f>IFERROR(ROUND(LARGE($O$14:$O$33,1),2),"")</f>
        <v/>
      </c>
      <c r="I14" s="20" t="n"/>
      <c r="O14" s="22">
        <f>IF('Clients'!A2="","",SUMIFS('Appointments'!$E:$E,'Appointments'!$B:$B,'Clients'!A2,'Appointments'!$F:$F,"Done")+ROW()/10000000)</f>
        <v/>
      </c>
      <c r="P14" s="22">
        <f>IF($O14="","",'Clients'!A2)</f>
        <v/>
      </c>
    </row>
    <row r="15">
      <c r="B15" s="23" t="n">
        <v>2</v>
      </c>
      <c r="C15" s="24">
        <f>IFERROR(INDEX($P$14:$P$33,MATCH(LARGE($O$14:$O$33,2),$O$14:$O$33,0)),"—")</f>
        <v/>
      </c>
      <c r="D15" s="25" t="n"/>
      <c r="E15" s="25" t="n"/>
      <c r="F15" s="25" t="n"/>
      <c r="G15" s="25" t="n"/>
      <c r="H15" s="26">
        <f>IFERROR(ROUND(LARGE($O$14:$O$33,2),2),"")</f>
        <v/>
      </c>
      <c r="I15" s="25" t="n"/>
      <c r="O15" s="22">
        <f>IF('Clients'!A3="","",SUMIFS('Appointments'!$E:$E,'Appointments'!$B:$B,'Clients'!A3,'Appointments'!$F:$F,"Done")+ROW()/10000000)</f>
        <v/>
      </c>
      <c r="P15" s="22">
        <f>IF($O15="","",'Clients'!A3)</f>
        <v/>
      </c>
    </row>
    <row r="16">
      <c r="B16" s="18" t="n">
        <v>3</v>
      </c>
      <c r="C16" s="19">
        <f>IFERROR(INDEX($P$14:$P$33,MATCH(LARGE($O$14:$O$33,3),$O$14:$O$33,0)),"—")</f>
        <v/>
      </c>
      <c r="D16" s="20" t="n"/>
      <c r="E16" s="20" t="n"/>
      <c r="F16" s="20" t="n"/>
      <c r="G16" s="20" t="n"/>
      <c r="H16" s="21">
        <f>IFERROR(ROUND(LARGE($O$14:$O$33,3),2),"")</f>
        <v/>
      </c>
      <c r="I16" s="20" t="n"/>
      <c r="O16" s="22">
        <f>IF('Clients'!A4="","",SUMIFS('Appointments'!$E:$E,'Appointments'!$B:$B,'Clients'!A4,'Appointments'!$F:$F,"Done")+ROW()/10000000)</f>
        <v/>
      </c>
      <c r="P16" s="22">
        <f>IF($O16="","",'Clients'!A4)</f>
        <v/>
      </c>
    </row>
    <row r="17">
      <c r="B17" s="23" t="n">
        <v>4</v>
      </c>
      <c r="C17" s="24">
        <f>IFERROR(INDEX($P$14:$P$33,MATCH(LARGE($O$14:$O$33,4),$O$14:$O$33,0)),"—")</f>
        <v/>
      </c>
      <c r="D17" s="25" t="n"/>
      <c r="E17" s="25" t="n"/>
      <c r="F17" s="25" t="n"/>
      <c r="G17" s="25" t="n"/>
      <c r="H17" s="26">
        <f>IFERROR(ROUND(LARGE($O$14:$O$33,4),2),"")</f>
        <v/>
      </c>
      <c r="I17" s="25" t="n"/>
      <c r="O17" s="22">
        <f>IF('Clients'!A5="","",SUMIFS('Appointments'!$E:$E,'Appointments'!$B:$B,'Clients'!A5,'Appointments'!$F:$F,"Done")+ROW()/10000000)</f>
        <v/>
      </c>
      <c r="P17" s="22">
        <f>IF($O17="","",'Clients'!A5)</f>
        <v/>
      </c>
    </row>
    <row r="18">
      <c r="B18" s="18" t="n">
        <v>5</v>
      </c>
      <c r="C18" s="19">
        <f>IFERROR(INDEX($P$14:$P$33,MATCH(LARGE($O$14:$O$33,5),$O$14:$O$33,0)),"—")</f>
        <v/>
      </c>
      <c r="D18" s="20" t="n"/>
      <c r="E18" s="20" t="n"/>
      <c r="F18" s="20" t="n"/>
      <c r="G18" s="20" t="n"/>
      <c r="H18" s="21">
        <f>IFERROR(ROUND(LARGE($O$14:$O$33,5),2),"")</f>
        <v/>
      </c>
      <c r="I18" s="20" t="n"/>
      <c r="O18" s="22">
        <f>IF('Clients'!A6="","",SUMIFS('Appointments'!$E:$E,'Appointments'!$B:$B,'Clients'!A6,'Appointments'!$F:$F,"Done")+ROW()/10000000)</f>
        <v/>
      </c>
      <c r="P18" s="22">
        <f>IF($O18="","",'Clients'!A6)</f>
        <v/>
      </c>
    </row>
    <row r="19">
      <c r="O19" s="22">
        <f>IF('Clients'!A7="","",SUMIFS('Appointments'!$E:$E,'Appointments'!$B:$B,'Clients'!A7,'Appointments'!$F:$F,"Done")+ROW()/10000000)</f>
        <v/>
      </c>
      <c r="P19" s="22">
        <f>IF($O19="","",'Clients'!A7)</f>
        <v/>
      </c>
    </row>
    <row r="20">
      <c r="O20" s="22">
        <f>IF('Clients'!A8="","",SUMIFS('Appointments'!$E:$E,'Appointments'!$B:$B,'Clients'!A8,'Appointments'!$F:$F,"Done")+ROW()/10000000)</f>
        <v/>
      </c>
      <c r="P20" s="22">
        <f>IF($O20="","",'Clients'!A8)</f>
        <v/>
      </c>
    </row>
    <row r="21">
      <c r="B21" s="27" t="inlineStr">
        <is>
          <t>Top-client list scans your first 20 client rows. Hidden columns O-P do the math — leave them alone (Format &gt; Unhide if you're curious).</t>
        </is>
      </c>
      <c r="O21" s="22">
        <f>IF('Clients'!A9="","",SUMIFS('Appointments'!$E:$E,'Appointments'!$B:$B,'Clients'!A9,'Appointments'!$F:$F,"Done")+ROW()/10000000)</f>
        <v/>
      </c>
      <c r="P21" s="22">
        <f>IF($O21="","",'Clients'!A9)</f>
        <v/>
      </c>
    </row>
    <row r="22">
      <c r="O22" s="22">
        <f>IF('Clients'!A10="","",SUMIFS('Appointments'!$E:$E,'Appointments'!$B:$B,'Clients'!A10,'Appointments'!$F:$F,"Done")+ROW()/10000000)</f>
        <v/>
      </c>
      <c r="P22" s="22">
        <f>IF($O22="","",'Clients'!A10)</f>
        <v/>
      </c>
    </row>
    <row r="23">
      <c r="O23" s="22">
        <f>IF('Clients'!A11="","",SUMIFS('Appointments'!$E:$E,'Appointments'!$B:$B,'Clients'!A11,'Appointments'!$F:$F,"Done")+ROW()/10000000)</f>
        <v/>
      </c>
      <c r="P23" s="22">
        <f>IF($O23="","",'Clients'!A11)</f>
        <v/>
      </c>
    </row>
    <row r="24">
      <c r="O24" s="22">
        <f>IF('Clients'!A12="","",SUMIFS('Appointments'!$E:$E,'Appointments'!$B:$B,'Clients'!A12,'Appointments'!$F:$F,"Done")+ROW()/10000000)</f>
        <v/>
      </c>
      <c r="P24" s="22">
        <f>IF($O24="","",'Clients'!A12)</f>
        <v/>
      </c>
    </row>
    <row r="25">
      <c r="O25" s="22">
        <f>IF('Clients'!A13="","",SUMIFS('Appointments'!$E:$E,'Appointments'!$B:$B,'Clients'!A13,'Appointments'!$F:$F,"Done")+ROW()/10000000)</f>
        <v/>
      </c>
      <c r="P25" s="22">
        <f>IF($O25="","",'Clients'!A13)</f>
        <v/>
      </c>
    </row>
    <row r="26">
      <c r="O26" s="22">
        <f>IF('Clients'!A14="","",SUMIFS('Appointments'!$E:$E,'Appointments'!$B:$B,'Clients'!A14,'Appointments'!$F:$F,"Done")+ROW()/10000000)</f>
        <v/>
      </c>
      <c r="P26" s="22">
        <f>IF($O26="","",'Clients'!A14)</f>
        <v/>
      </c>
    </row>
    <row r="27">
      <c r="O27" s="22">
        <f>IF('Clients'!A15="","",SUMIFS('Appointments'!$E:$E,'Appointments'!$B:$B,'Clients'!A15,'Appointments'!$F:$F,"Done")+ROW()/10000000)</f>
        <v/>
      </c>
      <c r="P27" s="22">
        <f>IF($O27="","",'Clients'!A15)</f>
        <v/>
      </c>
    </row>
    <row r="28">
      <c r="O28" s="22">
        <f>IF('Clients'!A16="","",SUMIFS('Appointments'!$E:$E,'Appointments'!$B:$B,'Clients'!A16,'Appointments'!$F:$F,"Done")+ROW()/10000000)</f>
        <v/>
      </c>
      <c r="P28" s="22">
        <f>IF($O28="","",'Clients'!A16)</f>
        <v/>
      </c>
    </row>
    <row r="29">
      <c r="O29" s="22">
        <f>IF('Clients'!A17="","",SUMIFS('Appointments'!$E:$E,'Appointments'!$B:$B,'Clients'!A17,'Appointments'!$F:$F,"Done")+ROW()/10000000)</f>
        <v/>
      </c>
      <c r="P29" s="22">
        <f>IF($O29="","",'Clients'!A17)</f>
        <v/>
      </c>
    </row>
    <row r="30">
      <c r="O30" s="22">
        <f>IF('Clients'!A18="","",SUMIFS('Appointments'!$E:$E,'Appointments'!$B:$B,'Clients'!A18,'Appointments'!$F:$F,"Done")+ROW()/10000000)</f>
        <v/>
      </c>
      <c r="P30" s="22">
        <f>IF($O30="","",'Clients'!A18)</f>
        <v/>
      </c>
    </row>
    <row r="31">
      <c r="O31" s="22">
        <f>IF('Clients'!A19="","",SUMIFS('Appointments'!$E:$E,'Appointments'!$B:$B,'Clients'!A19,'Appointments'!$F:$F,"Done")+ROW()/10000000)</f>
        <v/>
      </c>
      <c r="P31" s="22">
        <f>IF($O31="","",'Clients'!A19)</f>
        <v/>
      </c>
    </row>
    <row r="32">
      <c r="O32" s="22">
        <f>IF('Clients'!A20="","",SUMIFS('Appointments'!$E:$E,'Appointments'!$B:$B,'Clients'!A20,'Appointments'!$F:$F,"Done")+ROW()/10000000)</f>
        <v/>
      </c>
      <c r="P32" s="22">
        <f>IF($O32="","",'Clients'!A20)</f>
        <v/>
      </c>
    </row>
    <row r="33">
      <c r="O33" s="22">
        <f>IF('Clients'!A21="","",SUMIFS('Appointments'!$E:$E,'Appointments'!$B:$B,'Clients'!A21,'Appointments'!$F:$F,"Done")+ROW()/10000000)</f>
        <v/>
      </c>
      <c r="P33" s="22">
        <f>IF($O33="","",'Clients'!A21)</f>
        <v/>
      </c>
    </row>
  </sheetData>
  <mergeCells count="27">
    <mergeCell ref="C15:G15"/>
    <mergeCell ref="E5:F5"/>
    <mergeCell ref="C14:G14"/>
    <mergeCell ref="H9:I9"/>
    <mergeCell ref="E8:F8"/>
    <mergeCell ref="B12:I12"/>
    <mergeCell ref="B21:I21"/>
    <mergeCell ref="H6:I6"/>
    <mergeCell ref="C16:G16"/>
    <mergeCell ref="B2:I2"/>
    <mergeCell ref="E9:F9"/>
    <mergeCell ref="B8:C8"/>
    <mergeCell ref="H17:I17"/>
    <mergeCell ref="E6:F6"/>
    <mergeCell ref="H16:I16"/>
    <mergeCell ref="B9:C9"/>
    <mergeCell ref="H13:I13"/>
    <mergeCell ref="H14:I14"/>
    <mergeCell ref="C17:G17"/>
    <mergeCell ref="B6:C6"/>
    <mergeCell ref="B5:C5"/>
    <mergeCell ref="H15:I15"/>
    <mergeCell ref="H18:I18"/>
    <mergeCell ref="H5:I5"/>
    <mergeCell ref="H8:I8"/>
    <mergeCell ref="C13:G13"/>
    <mergeCell ref="C18:G18"/>
  </mergeCells>
  <pageMargins left="0.75" right="0.75" top="1" bottom="1" header="0.5" footer="0.5"/>
</worksheet>
</file>

<file path=xl/worksheets/sheet3.xml><?xml version="1.0" encoding="utf-8"?>
<worksheet xmlns="http://schemas.openxmlformats.org/spreadsheetml/2006/main">
  <sheetPr>
    <tabColor rgb="00C49AA6"/>
    <outlinePr summaryBelow="1" summaryRight="1"/>
    <pageSetUpPr/>
  </sheetPr>
  <dimension ref="A1:I200"/>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24" customWidth="1" min="3" max="3"/>
    <col width="16" customWidth="1" min="4" max="4"/>
    <col width="26" customWidth="1" min="5" max="5"/>
    <col width="22" customWidth="1" min="6" max="6"/>
    <col width="15" customWidth="1" min="7" max="7"/>
    <col width="12" customWidth="1" min="8" max="8"/>
    <col width="32" customWidth="1" min="9" max="9"/>
  </cols>
  <sheetData>
    <row r="1" ht="26" customHeight="1">
      <c r="A1" s="28" t="inlineStr">
        <is>
          <t>Client Name</t>
        </is>
      </c>
      <c r="B1" s="28" t="inlineStr">
        <is>
          <t>Phone</t>
        </is>
      </c>
      <c r="C1" s="28" t="inlineStr">
        <is>
          <t>Email</t>
        </is>
      </c>
      <c r="D1" s="28" t="inlineStr">
        <is>
          <t>Preferred Contact</t>
        </is>
      </c>
      <c r="E1" s="28" t="inlineStr">
        <is>
          <t>Emergency Contact (name &amp; phone)</t>
        </is>
      </c>
      <c r="F1" s="28" t="inlineStr">
        <is>
          <t>Vet Clinic</t>
        </is>
      </c>
      <c r="G1" s="28" t="inlineStr">
        <is>
          <t>Vet Phone</t>
        </is>
      </c>
      <c r="H1" s="28" t="inlineStr">
        <is>
          <t>Status</t>
        </is>
      </c>
      <c r="I1" s="28" t="inlineStr">
        <is>
          <t>Notes</t>
        </is>
      </c>
    </row>
    <row r="2">
      <c r="A2" s="29" t="inlineStr">
        <is>
          <t>Amanda Foster</t>
        </is>
      </c>
      <c r="B2" s="29" t="inlineStr">
        <is>
          <t>(555) 214-7788</t>
        </is>
      </c>
      <c r="C2" s="29" t="inlineStr">
        <is>
          <t>amanda.f@example.com</t>
        </is>
      </c>
      <c r="D2" s="29" t="inlineStr">
        <is>
          <t>Text</t>
        </is>
      </c>
      <c r="E2" s="29" t="inlineStr">
        <is>
          <t>Mike Foster (555) 214-7790</t>
        </is>
      </c>
      <c r="F2" s="29" t="inlineStr">
        <is>
          <t>Lakeview Animal Hospital</t>
        </is>
      </c>
      <c r="G2" s="29" t="inlineStr">
        <is>
          <t>(555) 640-2210</t>
        </is>
      </c>
      <c r="H2" s="29" t="inlineStr">
        <is>
          <t>Active</t>
        </is>
      </c>
      <c r="I2" s="29" t="inlineStr">
        <is>
          <t>SAMPLE ROW — delete me</t>
        </is>
      </c>
    </row>
    <row r="3">
      <c r="A3" s="29" t="inlineStr">
        <is>
          <t>Derek Okafor</t>
        </is>
      </c>
      <c r="B3" s="29" t="inlineStr">
        <is>
          <t>(555) 318-2276</t>
        </is>
      </c>
      <c r="C3" s="29" t="inlineStr">
        <is>
          <t>derek.o@example.com</t>
        </is>
      </c>
      <c r="D3" s="29" t="inlineStr">
        <is>
          <t>Call</t>
        </is>
      </c>
      <c r="E3" s="29" t="inlineStr">
        <is>
          <t>Nia Okafor (555) 318-9901</t>
        </is>
      </c>
      <c r="F3" s="29" t="inlineStr">
        <is>
          <t>Eastside Vet Clinic</t>
        </is>
      </c>
      <c r="G3" s="29" t="inlineStr">
        <is>
          <t>(555) 772-0184</t>
        </is>
      </c>
      <c r="H3" s="29" t="inlineStr">
        <is>
          <t>Active</t>
        </is>
      </c>
      <c r="I3" s="29" t="inlineStr">
        <is>
          <t>Prefers early morning slots — SAMPLE ROW, delete me</t>
        </is>
      </c>
    </row>
    <row r="4">
      <c r="A4" s="29" t="inlineStr">
        <is>
          <t>Priya Raman</t>
        </is>
      </c>
      <c r="B4" s="29" t="inlineStr">
        <is>
          <t>(555) 467-9032</t>
        </is>
      </c>
      <c r="C4" s="29" t="inlineStr">
        <is>
          <t>priya.r@example.com</t>
        </is>
      </c>
      <c r="D4" s="29" t="inlineStr">
        <is>
          <t>Email</t>
        </is>
      </c>
      <c r="E4" s="29" t="inlineStr">
        <is>
          <t>Dev Raman (555) 467-9033</t>
        </is>
      </c>
      <c r="F4" s="29" t="inlineStr">
        <is>
          <t>Harbor Animal Hospital</t>
        </is>
      </c>
      <c r="G4" s="29" t="inlineStr">
        <is>
          <t>(555) 903-3341</t>
        </is>
      </c>
      <c r="H4" s="29" t="inlineStr">
        <is>
          <t>Waitlist</t>
        </is>
      </c>
      <c r="I4" s="29" t="inlineStr">
        <is>
          <t>SAMPLE ROW — delete me</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conditionalFormatting sqref="H2:H200">
    <cfRule type="expression" priority="1" dxfId="0">
      <formula>$H2="Active"</formula>
    </cfRule>
    <cfRule type="expression" priority="2" dxfId="1">
      <formula>$H2="Waitlist"</formula>
    </cfRule>
  </conditionalFormatting>
  <dataValidations count="2">
    <dataValidation sqref="D2:D200" showDropDown="0" showInputMessage="0" showErrorMessage="0" allowBlank="1" type="list">
      <formula1>"Text,Call,Email"</formula1>
    </dataValidation>
    <dataValidation sqref="H2:H200" showDropDown="0" showInputMessage="0" showErrorMessage="0" allowBlank="1" type="list">
      <formula1>"Active,Inactive,Waitlist"</formula1>
    </dataValidation>
  </dataValidations>
  <pageMargins left="0.75" right="0.75" top="1" bottom="1" header="0.5" footer="0.5"/>
</worksheet>
</file>

<file path=xl/worksheets/sheet4.xml><?xml version="1.0" encoding="utf-8"?>
<worksheet xmlns="http://schemas.openxmlformats.org/spreadsheetml/2006/main">
  <sheetPr>
    <tabColor rgb="00C49AA6"/>
    <outlinePr summaryBelow="1" summaryRight="1"/>
    <pageSetUpPr/>
  </sheetPr>
  <dimension ref="A1:L300"/>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8" customWidth="1" min="3" max="3"/>
    <col width="6" customWidth="1" min="4" max="4"/>
    <col width="14" customWidth="1" min="5" max="5"/>
    <col width="38" customWidth="1" min="6" max="6"/>
    <col width="22" customWidth="1" min="7" max="7"/>
    <col width="26" customWidth="1" min="8" max="8"/>
    <col width="26" customWidth="1" min="9" max="9"/>
    <col width="32" customWidth="1" min="10" max="10"/>
    <col width="26" customWidth="1" min="11" max="11"/>
    <col width="28" customWidth="1" min="12" max="12"/>
  </cols>
  <sheetData>
    <row r="1" ht="26" customHeight="1">
      <c r="A1" s="28" t="inlineStr">
        <is>
          <t>Owner</t>
        </is>
      </c>
      <c r="B1" s="28" t="inlineStr">
        <is>
          <t>Dog Name</t>
        </is>
      </c>
      <c r="C1" s="28" t="inlineStr">
        <is>
          <t>Breed</t>
        </is>
      </c>
      <c r="D1" s="28" t="inlineStr">
        <is>
          <t>Age</t>
        </is>
      </c>
      <c r="E1" s="28" t="inlineStr">
        <is>
          <t>Coat Type</t>
        </is>
      </c>
      <c r="F1" s="28" t="inlineStr">
        <is>
          <t>Last Cut / Style Notes (what the owner asked for)</t>
        </is>
      </c>
      <c r="G1" s="28" t="inlineStr">
        <is>
          <t>Blade / Comb Lengths</t>
        </is>
      </c>
      <c r="H1" s="28" t="inlineStr">
        <is>
          <t>Shampoo &amp; Products Used</t>
        </is>
      </c>
      <c r="I1" s="28" t="inlineStr">
        <is>
          <t>Skin Conditions / Allergies</t>
        </is>
      </c>
      <c r="J1" s="28" t="inlineStr">
        <is>
          <t>Behavior Notes / Warnings</t>
        </is>
      </c>
      <c r="K1" s="28" t="inlineStr">
        <is>
          <t>Matting Notes</t>
        </is>
      </c>
      <c r="L1" s="28" t="inlineStr">
        <is>
          <t>Ear / Nail / Gland Prefs</t>
        </is>
      </c>
    </row>
    <row r="2">
      <c r="A2" s="29" t="inlineStr">
        <is>
          <t>Amanda Foster</t>
        </is>
      </c>
      <c r="B2" s="29" t="inlineStr">
        <is>
          <t>Murphy</t>
        </is>
      </c>
      <c r="C2" s="29" t="inlineStr">
        <is>
          <t>Goldendoodle</t>
        </is>
      </c>
      <c r="D2" s="29" t="inlineStr">
        <is>
          <t>3</t>
        </is>
      </c>
      <c r="E2" s="29" t="inlineStr">
        <is>
          <t>Curly</t>
        </is>
      </c>
      <c r="F2" s="29" t="inlineStr">
        <is>
          <t>Teddy-bear head, 1/2" body all over — owner wants the ears left long this time</t>
        </is>
      </c>
      <c r="G2" s="29" t="inlineStr">
        <is>
          <t>#4F body, #10 sanitary, 1/2" comb legs</t>
        </is>
      </c>
      <c r="H2" s="29" t="inlineStr">
        <is>
          <t>Oatmeal shampoo + light conditioner</t>
        </is>
      </c>
      <c r="I2" s="29" t="inlineStr">
        <is>
          <t>Sensitive skin — no perfumed finishing sprays</t>
        </is>
      </c>
      <c r="J2" s="29" t="inlineStr">
        <is>
          <t>Sweet but wiggly on the table — go slow on feet</t>
        </is>
      </c>
      <c r="K2" s="29" t="inlineStr">
        <is>
          <t>Mats behind ears &amp; armpits when owner skips brushing — check every visit; charge de-mat fee over 15 min</t>
        </is>
      </c>
      <c r="L2" s="29" t="inlineStr">
        <is>
          <t>Grind nails (hates clippers); pluck ears; no glands (vet does) — SAMPLE ROW, delete me</t>
        </is>
      </c>
    </row>
    <row r="3">
      <c r="A3" s="29" t="inlineStr">
        <is>
          <t>Derek Okafor</t>
        </is>
      </c>
      <c r="B3" s="29" t="inlineStr">
        <is>
          <t>Luna</t>
        </is>
      </c>
      <c r="C3" s="29" t="inlineStr">
        <is>
          <t>Siberian Husky</t>
        </is>
      </c>
      <c r="D3" s="29" t="inlineStr">
        <is>
          <t>5</t>
        </is>
      </c>
      <c r="E3" s="29" t="inlineStr">
        <is>
          <t>Double Coat</t>
        </is>
      </c>
      <c r="F3" s="29" t="inlineStr">
        <is>
          <t>De-shed only — NEVER shave (owner confirmed twice)</t>
        </is>
      </c>
      <c r="G3" s="29" t="inlineStr">
        <is>
          <t>No blades — undercoat rake + high-velocity dry</t>
        </is>
      </c>
      <c r="H3" s="29" t="inlineStr">
        <is>
          <t>De-shedding shampoo + conditioner</t>
        </is>
      </c>
      <c r="I3" s="29" t="inlineStr">
        <is>
          <t>None</t>
        </is>
      </c>
      <c r="J3" s="29" t="inlineStr">
        <is>
          <t>Vocal but friendly — sings through the whole dry</t>
        </is>
      </c>
      <c r="K3" s="29" t="inlineStr">
        <is>
          <t>None — coat well maintained between visits</t>
        </is>
      </c>
      <c r="L3" s="29" t="inlineStr">
        <is>
          <t>Nails clipped OK; ears wipe only — SAMPLE ROW, delete me</t>
        </is>
      </c>
    </row>
    <row r="4">
      <c r="A4" s="29" t="inlineStr">
        <is>
          <t>Priya Raman</t>
        </is>
      </c>
      <c r="B4" s="29" t="inlineStr">
        <is>
          <t>Taco</t>
        </is>
      </c>
      <c r="C4" s="29" t="inlineStr">
        <is>
          <t>Chihuahua</t>
        </is>
      </c>
      <c r="D4" s="29" t="inlineStr">
        <is>
          <t>8</t>
        </is>
      </c>
      <c r="E4" s="29" t="inlineStr">
        <is>
          <t>Smooth</t>
        </is>
      </c>
      <c r="F4" s="29" t="inlineStr">
        <is>
          <t>Bath &amp; brush; tidy face only, no body clipping</t>
        </is>
      </c>
      <c r="G4" s="29" t="inlineStr">
        <is>
          <t>#10 on face if needed</t>
        </is>
      </c>
      <c r="H4" s="29" t="inlineStr">
        <is>
          <t>Hypoallergenic shampoo</t>
        </is>
      </c>
      <c r="I4" s="29" t="inlineStr">
        <is>
          <t>Allergic to chicken-based treats</t>
        </is>
      </c>
      <c r="J4" s="29" t="inlineStr">
        <is>
          <t>CAUTION: nippy when paws are handled — muzzle for nails, treats after, keep sessions short</t>
        </is>
      </c>
      <c r="K4" s="29" t="inlineStr">
        <is>
          <t>None</t>
        </is>
      </c>
      <c r="L4" s="29" t="inlineStr">
        <is>
          <t>Nail trim every visit; glands yes — SAMPLE ROW, delete me</t>
        </is>
      </c>
    </row>
    <row r="5">
      <c r="A5" s="29" t="inlineStr">
        <is>
          <t>Amanda Foster</t>
        </is>
      </c>
      <c r="B5" s="29" t="inlineStr">
        <is>
          <t>Bella</t>
        </is>
      </c>
      <c r="C5" s="29" t="inlineStr">
        <is>
          <t>Shih Tzu</t>
        </is>
      </c>
      <c r="D5" s="29" t="inlineStr">
        <is>
          <t>6</t>
        </is>
      </c>
      <c r="E5" s="29" t="inlineStr">
        <is>
          <t>Silky</t>
        </is>
      </c>
      <c r="F5" s="29" t="inlineStr">
        <is>
          <t>Short puppy cut, rounded face, bow on collar to finish</t>
        </is>
      </c>
      <c r="G5" s="29" t="inlineStr">
        <is>
          <t>#7F body, 3/8" comb legs</t>
        </is>
      </c>
      <c r="H5" s="29" t="inlineStr">
        <is>
          <t>Whitening shampoo (white coat), tearless face wash</t>
        </is>
      </c>
      <c r="I5" s="29" t="inlineStr">
        <is>
          <t>Tear staining — clean around eyes gently</t>
        </is>
      </c>
      <c r="J5" s="29" t="inlineStr">
        <is>
          <t>Calm, easy on the table</t>
        </is>
      </c>
      <c r="K5" s="29" t="inlineStr">
        <is>
          <t>Fine mats in leg feathering if she goes past 6 weeks</t>
        </is>
      </c>
      <c r="L5" s="29" t="inlineStr">
        <is>
          <t>Nails clipped; ears plucked; glands yes — SAMPLE ROW, delete me</t>
        </is>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conditionalFormatting sqref="A2:L300">
    <cfRule type="expression" priority="1" dxfId="2" stopIfTrue="1">
      <formula>ISNUMBER(SEARCH("CAUTION",$J2))</formula>
    </cfRule>
  </conditionalFormatting>
  <dataValidations count="2">
    <dataValidation sqref="A2:A300" showDropDown="0" showInputMessage="0" showErrorMessage="0" allowBlank="1" type="list">
      <formula1>ClientList</formula1>
    </dataValidation>
    <dataValidation sqref="E2:E300" showDropDown="0" showInputMessage="0" showErrorMessage="0" allowBlank="1" type="list">
      <formula1>"Double Coat,Curly,Wire,Silky,Smooth"</formula1>
    </dataValidation>
  </dataValidations>
  <pageMargins left="0.75" right="0.75" top="1" bottom="1" header="0.5" footer="0.5"/>
</worksheet>
</file>

<file path=xl/worksheets/sheet5.xml><?xml version="1.0" encoding="utf-8"?>
<worksheet xmlns="http://schemas.openxmlformats.org/spreadsheetml/2006/main">
  <sheetPr>
    <tabColor rgb="00C49AA6"/>
    <outlinePr summaryBelow="1" summaryRight="1"/>
    <pageSetUpPr/>
  </sheetPr>
  <dimension ref="A1:J25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20" customWidth="1" min="4" max="4"/>
    <col width="10" customWidth="1" min="5" max="5"/>
    <col width="11" customWidth="1" min="6" max="6"/>
    <col width="8" customWidth="1" min="7" max="7"/>
    <col width="14" customWidth="1" min="8" max="8"/>
    <col width="15" customWidth="1" min="9" max="9"/>
    <col width="30" customWidth="1" min="10" max="10"/>
  </cols>
  <sheetData>
    <row r="1" ht="26" customHeight="1">
      <c r="A1" s="28" t="inlineStr">
        <is>
          <t>Date</t>
        </is>
      </c>
      <c r="B1" s="28" t="inlineStr">
        <is>
          <t>Client</t>
        </is>
      </c>
      <c r="C1" s="28" t="inlineStr">
        <is>
          <t>Dog</t>
        </is>
      </c>
      <c r="D1" s="28" t="inlineStr">
        <is>
          <t>Service</t>
        </is>
      </c>
      <c r="E1" s="28" t="inlineStr">
        <is>
          <t>Rate ($)</t>
        </is>
      </c>
      <c r="F1" s="28" t="inlineStr">
        <is>
          <t>Status</t>
        </is>
      </c>
      <c r="G1" s="28" t="inlineStr">
        <is>
          <t>Paid?</t>
        </is>
      </c>
      <c r="H1" s="28" t="inlineStr">
        <is>
          <t>Rebook (weeks)</t>
        </is>
      </c>
      <c r="I1" s="28" t="inlineStr">
        <is>
          <t>Next Groom Due</t>
        </is>
      </c>
      <c r="J1" s="28" t="inlineStr">
        <is>
          <t>Notes</t>
        </is>
      </c>
    </row>
    <row r="2">
      <c r="A2" s="30">
        <f>TODAY()+0</f>
        <v/>
      </c>
      <c r="B2" s="29" t="inlineStr">
        <is>
          <t>Amanda Foster</t>
        </is>
      </c>
      <c r="C2" s="29" t="inlineStr">
        <is>
          <t>Murphy</t>
        </is>
      </c>
      <c r="D2" s="29" t="inlineStr">
        <is>
          <t>Full Groom — Medium</t>
        </is>
      </c>
      <c r="E2" s="31">
        <f>IF($D2="","",IFERROR(VLOOKUP($D2,'Services &amp; Rates'!$A$2:$B$30,2,FALSE),""))</f>
        <v/>
      </c>
      <c r="F2" s="29" t="inlineStr">
        <is>
          <t>Booked</t>
        </is>
      </c>
      <c r="G2" s="29" t="inlineStr">
        <is>
          <t>No</t>
        </is>
      </c>
      <c r="H2" s="29" t="n">
        <v>6</v>
      </c>
      <c r="I2" s="32">
        <f>IF(OR($A2="",$H2=""),"",$A2+$H2*7)</f>
        <v/>
      </c>
      <c r="J2" s="29" t="inlineStr">
        <is>
          <t>SAMPLE — today's appointments glow</t>
        </is>
      </c>
    </row>
    <row r="3">
      <c r="A3" s="30">
        <f>TODAY()-3</f>
        <v/>
      </c>
      <c r="B3" s="29" t="inlineStr">
        <is>
          <t>Priya Raman</t>
        </is>
      </c>
      <c r="C3" s="29" t="inlineStr">
        <is>
          <t>Taco</t>
        </is>
      </c>
      <c r="D3" s="29" t="inlineStr">
        <is>
          <t>Nail Trim</t>
        </is>
      </c>
      <c r="E3" s="31">
        <f>IF($D3="","",IFERROR(VLOOKUP($D3,'Services &amp; Rates'!$A$2:$B$30,2,FALSE),""))</f>
        <v/>
      </c>
      <c r="F3" s="29" t="inlineStr">
        <is>
          <t>Done</t>
        </is>
      </c>
      <c r="G3" s="29" t="inlineStr">
        <is>
          <t>No</t>
        </is>
      </c>
      <c r="H3" s="29" t="n">
        <v>4</v>
      </c>
      <c r="I3" s="32">
        <f>IF(OR($A3="",$H3=""),"",$A3+$H3*7)</f>
        <v/>
      </c>
      <c r="J3" s="29" t="inlineStr">
        <is>
          <t>SAMPLE — done + unpaid turns red</t>
        </is>
      </c>
    </row>
    <row r="4">
      <c r="A4" s="30">
        <f>TODAY()-7</f>
        <v/>
      </c>
      <c r="B4" s="29" t="inlineStr">
        <is>
          <t>Derek Okafor</t>
        </is>
      </c>
      <c r="C4" s="29" t="inlineStr">
        <is>
          <t>Luna</t>
        </is>
      </c>
      <c r="D4" s="29" t="inlineStr">
        <is>
          <t>De-shed Treatment</t>
        </is>
      </c>
      <c r="E4" s="31">
        <f>IF($D4="","",IFERROR(VLOOKUP($D4,'Services &amp; Rates'!$A$2:$B$30,2,FALSE),""))</f>
        <v/>
      </c>
      <c r="F4" s="29" t="inlineStr">
        <is>
          <t>Done</t>
        </is>
      </c>
      <c r="G4" s="29" t="inlineStr">
        <is>
          <t>No</t>
        </is>
      </c>
      <c r="H4" s="29" t="n">
        <v>8</v>
      </c>
      <c r="I4" s="32">
        <f>IF(OR($A4="",$H4=""),"",$A4+$H4*7)</f>
        <v/>
      </c>
      <c r="J4" s="29" t="inlineStr">
        <is>
          <t>SAMPLE ROW — delete me</t>
        </is>
      </c>
    </row>
    <row r="5">
      <c r="A5" s="30">
        <f>DATE(YEAR(TODAY()),MONTH(TODAY()),1)</f>
        <v/>
      </c>
      <c r="B5" s="29" t="inlineStr">
        <is>
          <t>Amanda Foster</t>
        </is>
      </c>
      <c r="C5" s="29" t="inlineStr">
        <is>
          <t>Bella</t>
        </is>
      </c>
      <c r="D5" s="29" t="inlineStr">
        <is>
          <t>Full Groom — Small</t>
        </is>
      </c>
      <c r="E5" s="31">
        <f>IF($D5="","",IFERROR(VLOOKUP($D5,'Services &amp; Rates'!$A$2:$B$30,2,FALSE),""))</f>
        <v/>
      </c>
      <c r="F5" s="29" t="inlineStr">
        <is>
          <t>Done</t>
        </is>
      </c>
      <c r="G5" s="29" t="inlineStr">
        <is>
          <t>Yes</t>
        </is>
      </c>
      <c r="H5" s="29" t="n">
        <v>6</v>
      </c>
      <c r="I5" s="32">
        <f>IF(OR($A5="",$H5=""),"",$A5+$H5*7)</f>
        <v/>
      </c>
      <c r="J5" s="29" t="inlineStr">
        <is>
          <t>SAMPLE ROW — delete me</t>
        </is>
      </c>
    </row>
    <row r="6">
      <c r="A6" s="30">
        <f>TODAY()-35</f>
        <v/>
      </c>
      <c r="B6" s="29" t="inlineStr">
        <is>
          <t>Amanda Foster</t>
        </is>
      </c>
      <c r="C6" s="29" t="inlineStr">
        <is>
          <t>Bella</t>
        </is>
      </c>
      <c r="D6" s="29" t="inlineStr">
        <is>
          <t>Full Groom — Small</t>
        </is>
      </c>
      <c r="E6" s="31">
        <f>IF($D6="","",IFERROR(VLOOKUP($D6,'Services &amp; Rates'!$A$2:$B$30,2,FALSE),""))</f>
        <v/>
      </c>
      <c r="F6" s="29" t="inlineStr">
        <is>
          <t>Done</t>
        </is>
      </c>
      <c r="G6" s="29" t="inlineStr">
        <is>
          <t>Yes</t>
        </is>
      </c>
      <c r="H6" s="29" t="n">
        <v>4</v>
      </c>
      <c r="I6" s="32">
        <f>IF(OR($A6="",$H6=""),"",$A6+$H6*7)</f>
        <v/>
      </c>
      <c r="J6" s="29" t="inlineStr">
        <is>
          <t>SAMPLE — overdue rebook turns amber</t>
        </is>
      </c>
    </row>
    <row r="7">
      <c r="A7" s="30">
        <f>TODAY()+2</f>
        <v/>
      </c>
      <c r="B7" s="29" t="inlineStr">
        <is>
          <t>Derek Okafor</t>
        </is>
      </c>
      <c r="C7" s="29" t="inlineStr">
        <is>
          <t>Luna</t>
        </is>
      </c>
      <c r="D7" s="29" t="inlineStr">
        <is>
          <t>Bath &amp; Brush</t>
        </is>
      </c>
      <c r="E7" s="31">
        <f>IF($D7="","",IFERROR(VLOOKUP($D7,'Services &amp; Rates'!$A$2:$B$30,2,FALSE),""))</f>
        <v/>
      </c>
      <c r="F7" s="29" t="inlineStr">
        <is>
          <t>Booked</t>
        </is>
      </c>
      <c r="G7" s="29" t="inlineStr">
        <is>
          <t>No</t>
        </is>
      </c>
      <c r="H7" s="29" t="n"/>
      <c r="I7" s="32">
        <f>IF(OR($A7="",$H7=""),"",$A7+$H7*7)</f>
        <v/>
      </c>
      <c r="J7" s="29" t="inlineStr">
        <is>
          <t>SAMPLE ROW — delete me</t>
        </is>
      </c>
    </row>
    <row r="8">
      <c r="A8" s="33" t="n"/>
      <c r="E8" s="34">
        <f>IF($D8="","",IFERROR(VLOOKUP($D8,'Services &amp; Rates'!$A$2:$B$30,2,FALSE),""))</f>
        <v/>
      </c>
      <c r="I8" s="35">
        <f>IF(OR($A8="",$H8=""),"",$A8+$H8*7)</f>
        <v/>
      </c>
    </row>
    <row r="9">
      <c r="A9" s="33" t="n"/>
      <c r="E9" s="34">
        <f>IF($D9="","",IFERROR(VLOOKUP($D9,'Services &amp; Rates'!$A$2:$B$30,2,FALSE),""))</f>
        <v/>
      </c>
      <c r="I9" s="35">
        <f>IF(OR($A9="",$H9=""),"",$A9+$H9*7)</f>
        <v/>
      </c>
    </row>
    <row r="10">
      <c r="A10" s="33" t="n"/>
      <c r="E10" s="34">
        <f>IF($D10="","",IFERROR(VLOOKUP($D10,'Services &amp; Rates'!$A$2:$B$30,2,FALSE),""))</f>
        <v/>
      </c>
      <c r="I10" s="35">
        <f>IF(OR($A10="",$H10=""),"",$A10+$H10*7)</f>
        <v/>
      </c>
    </row>
    <row r="11">
      <c r="A11" s="33" t="n"/>
      <c r="E11" s="34">
        <f>IF($D11="","",IFERROR(VLOOKUP($D11,'Services &amp; Rates'!$A$2:$B$30,2,FALSE),""))</f>
        <v/>
      </c>
      <c r="I11" s="35">
        <f>IF(OR($A11="",$H11=""),"",$A11+$H11*7)</f>
        <v/>
      </c>
    </row>
    <row r="12">
      <c r="A12" s="33" t="n"/>
      <c r="E12" s="34">
        <f>IF($D12="","",IFERROR(VLOOKUP($D12,'Services &amp; Rates'!$A$2:$B$30,2,FALSE),""))</f>
        <v/>
      </c>
      <c r="I12" s="35">
        <f>IF(OR($A12="",$H12=""),"",$A12+$H12*7)</f>
        <v/>
      </c>
    </row>
    <row r="13">
      <c r="A13" s="33" t="n"/>
      <c r="E13" s="34">
        <f>IF($D13="","",IFERROR(VLOOKUP($D13,'Services &amp; Rates'!$A$2:$B$30,2,FALSE),""))</f>
        <v/>
      </c>
      <c r="I13" s="35">
        <f>IF(OR($A13="",$H13=""),"",$A13+$H13*7)</f>
        <v/>
      </c>
    </row>
    <row r="14">
      <c r="A14" s="33" t="n"/>
      <c r="E14" s="34">
        <f>IF($D14="","",IFERROR(VLOOKUP($D14,'Services &amp; Rates'!$A$2:$B$30,2,FALSE),""))</f>
        <v/>
      </c>
      <c r="I14" s="35">
        <f>IF(OR($A14="",$H14=""),"",$A14+$H14*7)</f>
        <v/>
      </c>
    </row>
    <row r="15">
      <c r="A15" s="33" t="n"/>
      <c r="E15" s="34">
        <f>IF($D15="","",IFERROR(VLOOKUP($D15,'Services &amp; Rates'!$A$2:$B$30,2,FALSE),""))</f>
        <v/>
      </c>
      <c r="I15" s="35">
        <f>IF(OR($A15="",$H15=""),"",$A15+$H15*7)</f>
        <v/>
      </c>
    </row>
    <row r="16">
      <c r="A16" s="33" t="n"/>
      <c r="E16" s="34">
        <f>IF($D16="","",IFERROR(VLOOKUP($D16,'Services &amp; Rates'!$A$2:$B$30,2,FALSE),""))</f>
        <v/>
      </c>
      <c r="I16" s="35">
        <f>IF(OR($A16="",$H16=""),"",$A16+$H16*7)</f>
        <v/>
      </c>
    </row>
    <row r="17">
      <c r="A17" s="33" t="n"/>
      <c r="E17" s="34">
        <f>IF($D17="","",IFERROR(VLOOKUP($D17,'Services &amp; Rates'!$A$2:$B$30,2,FALSE),""))</f>
        <v/>
      </c>
      <c r="I17" s="35">
        <f>IF(OR($A17="",$H17=""),"",$A17+$H17*7)</f>
        <v/>
      </c>
    </row>
    <row r="18">
      <c r="A18" s="33" t="n"/>
      <c r="E18" s="34">
        <f>IF($D18="","",IFERROR(VLOOKUP($D18,'Services &amp; Rates'!$A$2:$B$30,2,FALSE),""))</f>
        <v/>
      </c>
      <c r="I18" s="35">
        <f>IF(OR($A18="",$H18=""),"",$A18+$H18*7)</f>
        <v/>
      </c>
    </row>
    <row r="19">
      <c r="A19" s="33" t="n"/>
      <c r="E19" s="34">
        <f>IF($D19="","",IFERROR(VLOOKUP($D19,'Services &amp; Rates'!$A$2:$B$30,2,FALSE),""))</f>
        <v/>
      </c>
      <c r="I19" s="35">
        <f>IF(OR($A19="",$H19=""),"",$A19+$H19*7)</f>
        <v/>
      </c>
    </row>
    <row r="20">
      <c r="A20" s="33" t="n"/>
      <c r="E20" s="34">
        <f>IF($D20="","",IFERROR(VLOOKUP($D20,'Services &amp; Rates'!$A$2:$B$30,2,FALSE),""))</f>
        <v/>
      </c>
      <c r="I20" s="35">
        <f>IF(OR($A20="",$H20=""),"",$A20+$H20*7)</f>
        <v/>
      </c>
    </row>
    <row r="21">
      <c r="A21" s="33" t="n"/>
      <c r="E21" s="34">
        <f>IF($D21="","",IFERROR(VLOOKUP($D21,'Services &amp; Rates'!$A$2:$B$30,2,FALSE),""))</f>
        <v/>
      </c>
      <c r="I21" s="35">
        <f>IF(OR($A21="",$H21=""),"",$A21+$H21*7)</f>
        <v/>
      </c>
    </row>
    <row r="22">
      <c r="A22" s="33" t="n"/>
      <c r="E22" s="34">
        <f>IF($D22="","",IFERROR(VLOOKUP($D22,'Services &amp; Rates'!$A$2:$B$30,2,FALSE),""))</f>
        <v/>
      </c>
      <c r="I22" s="35">
        <f>IF(OR($A22="",$H22=""),"",$A22+$H22*7)</f>
        <v/>
      </c>
    </row>
    <row r="23">
      <c r="A23" s="33" t="n"/>
      <c r="E23" s="34">
        <f>IF($D23="","",IFERROR(VLOOKUP($D23,'Services &amp; Rates'!$A$2:$B$30,2,FALSE),""))</f>
        <v/>
      </c>
      <c r="I23" s="35">
        <f>IF(OR($A23="",$H23=""),"",$A23+$H23*7)</f>
        <v/>
      </c>
    </row>
    <row r="24">
      <c r="A24" s="33" t="n"/>
      <c r="E24" s="34">
        <f>IF($D24="","",IFERROR(VLOOKUP($D24,'Services &amp; Rates'!$A$2:$B$30,2,FALSE),""))</f>
        <v/>
      </c>
      <c r="I24" s="35">
        <f>IF(OR($A24="",$H24=""),"",$A24+$H24*7)</f>
        <v/>
      </c>
    </row>
    <row r="25">
      <c r="A25" s="33" t="n"/>
      <c r="E25" s="34">
        <f>IF($D25="","",IFERROR(VLOOKUP($D25,'Services &amp; Rates'!$A$2:$B$30,2,FALSE),""))</f>
        <v/>
      </c>
      <c r="I25" s="35">
        <f>IF(OR($A25="",$H25=""),"",$A25+$H25*7)</f>
        <v/>
      </c>
    </row>
    <row r="26">
      <c r="A26" s="33" t="n"/>
      <c r="E26" s="34">
        <f>IF($D26="","",IFERROR(VLOOKUP($D26,'Services &amp; Rates'!$A$2:$B$30,2,FALSE),""))</f>
        <v/>
      </c>
      <c r="I26" s="35">
        <f>IF(OR($A26="",$H26=""),"",$A26+$H26*7)</f>
        <v/>
      </c>
    </row>
    <row r="27">
      <c r="A27" s="33" t="n"/>
      <c r="E27" s="34">
        <f>IF($D27="","",IFERROR(VLOOKUP($D27,'Services &amp; Rates'!$A$2:$B$30,2,FALSE),""))</f>
        <v/>
      </c>
      <c r="I27" s="35">
        <f>IF(OR($A27="",$H27=""),"",$A27+$H27*7)</f>
        <v/>
      </c>
    </row>
    <row r="28">
      <c r="A28" s="33" t="n"/>
      <c r="E28" s="34">
        <f>IF($D28="","",IFERROR(VLOOKUP($D28,'Services &amp; Rates'!$A$2:$B$30,2,FALSE),""))</f>
        <v/>
      </c>
      <c r="I28" s="35">
        <f>IF(OR($A28="",$H28=""),"",$A28+$H28*7)</f>
        <v/>
      </c>
    </row>
    <row r="29">
      <c r="A29" s="33" t="n"/>
      <c r="E29" s="34">
        <f>IF($D29="","",IFERROR(VLOOKUP($D29,'Services &amp; Rates'!$A$2:$B$30,2,FALSE),""))</f>
        <v/>
      </c>
      <c r="I29" s="35">
        <f>IF(OR($A29="",$H29=""),"",$A29+$H29*7)</f>
        <v/>
      </c>
    </row>
    <row r="30">
      <c r="A30" s="33" t="n"/>
      <c r="E30" s="34">
        <f>IF($D30="","",IFERROR(VLOOKUP($D30,'Services &amp; Rates'!$A$2:$B$30,2,FALSE),""))</f>
        <v/>
      </c>
      <c r="I30" s="35">
        <f>IF(OR($A30="",$H30=""),"",$A30+$H30*7)</f>
        <v/>
      </c>
    </row>
    <row r="31">
      <c r="A31" s="33" t="n"/>
      <c r="E31" s="34">
        <f>IF($D31="","",IFERROR(VLOOKUP($D31,'Services &amp; Rates'!$A$2:$B$30,2,FALSE),""))</f>
        <v/>
      </c>
      <c r="I31" s="35">
        <f>IF(OR($A31="",$H31=""),"",$A31+$H31*7)</f>
        <v/>
      </c>
    </row>
    <row r="32">
      <c r="A32" s="33" t="n"/>
      <c r="E32" s="34">
        <f>IF($D32="","",IFERROR(VLOOKUP($D32,'Services &amp; Rates'!$A$2:$B$30,2,FALSE),""))</f>
        <v/>
      </c>
      <c r="I32" s="35">
        <f>IF(OR($A32="",$H32=""),"",$A32+$H32*7)</f>
        <v/>
      </c>
    </row>
    <row r="33">
      <c r="A33" s="33" t="n"/>
      <c r="E33" s="34">
        <f>IF($D33="","",IFERROR(VLOOKUP($D33,'Services &amp; Rates'!$A$2:$B$30,2,FALSE),""))</f>
        <v/>
      </c>
      <c r="I33" s="35">
        <f>IF(OR($A33="",$H33=""),"",$A33+$H33*7)</f>
        <v/>
      </c>
    </row>
    <row r="34">
      <c r="A34" s="33" t="n"/>
      <c r="E34" s="34">
        <f>IF($D34="","",IFERROR(VLOOKUP($D34,'Services &amp; Rates'!$A$2:$B$30,2,FALSE),""))</f>
        <v/>
      </c>
      <c r="I34" s="35">
        <f>IF(OR($A34="",$H34=""),"",$A34+$H34*7)</f>
        <v/>
      </c>
    </row>
    <row r="35">
      <c r="A35" s="33" t="n"/>
      <c r="E35" s="34">
        <f>IF($D35="","",IFERROR(VLOOKUP($D35,'Services &amp; Rates'!$A$2:$B$30,2,FALSE),""))</f>
        <v/>
      </c>
      <c r="I35" s="35">
        <f>IF(OR($A35="",$H35=""),"",$A35+$H35*7)</f>
        <v/>
      </c>
    </row>
    <row r="36">
      <c r="A36" s="33" t="n"/>
      <c r="E36" s="34">
        <f>IF($D36="","",IFERROR(VLOOKUP($D36,'Services &amp; Rates'!$A$2:$B$30,2,FALSE),""))</f>
        <v/>
      </c>
      <c r="I36" s="35">
        <f>IF(OR($A36="",$H36=""),"",$A36+$H36*7)</f>
        <v/>
      </c>
    </row>
    <row r="37">
      <c r="A37" s="33" t="n"/>
      <c r="E37" s="34">
        <f>IF($D37="","",IFERROR(VLOOKUP($D37,'Services &amp; Rates'!$A$2:$B$30,2,FALSE),""))</f>
        <v/>
      </c>
      <c r="I37" s="35">
        <f>IF(OR($A37="",$H37=""),"",$A37+$H37*7)</f>
        <v/>
      </c>
    </row>
    <row r="38">
      <c r="A38" s="33" t="n"/>
      <c r="E38" s="34">
        <f>IF($D38="","",IFERROR(VLOOKUP($D38,'Services &amp; Rates'!$A$2:$B$30,2,FALSE),""))</f>
        <v/>
      </c>
      <c r="I38" s="35">
        <f>IF(OR($A38="",$H38=""),"",$A38+$H38*7)</f>
        <v/>
      </c>
    </row>
    <row r="39">
      <c r="A39" s="33" t="n"/>
      <c r="E39" s="34">
        <f>IF($D39="","",IFERROR(VLOOKUP($D39,'Services &amp; Rates'!$A$2:$B$30,2,FALSE),""))</f>
        <v/>
      </c>
      <c r="I39" s="35">
        <f>IF(OR($A39="",$H39=""),"",$A39+$H39*7)</f>
        <v/>
      </c>
    </row>
    <row r="40">
      <c r="A40" s="33" t="n"/>
      <c r="E40" s="34">
        <f>IF($D40="","",IFERROR(VLOOKUP($D40,'Services &amp; Rates'!$A$2:$B$30,2,FALSE),""))</f>
        <v/>
      </c>
      <c r="I40" s="35">
        <f>IF(OR($A40="",$H40=""),"",$A40+$H40*7)</f>
        <v/>
      </c>
    </row>
    <row r="41">
      <c r="A41" s="33" t="n"/>
      <c r="E41" s="34">
        <f>IF($D41="","",IFERROR(VLOOKUP($D41,'Services &amp; Rates'!$A$2:$B$30,2,FALSE),""))</f>
        <v/>
      </c>
      <c r="I41" s="35">
        <f>IF(OR($A41="",$H41=""),"",$A41+$H41*7)</f>
        <v/>
      </c>
    </row>
    <row r="42">
      <c r="A42" s="33" t="n"/>
      <c r="E42" s="34">
        <f>IF($D42="","",IFERROR(VLOOKUP($D42,'Services &amp; Rates'!$A$2:$B$30,2,FALSE),""))</f>
        <v/>
      </c>
      <c r="I42" s="35">
        <f>IF(OR($A42="",$H42=""),"",$A42+$H42*7)</f>
        <v/>
      </c>
    </row>
    <row r="43">
      <c r="A43" s="33" t="n"/>
      <c r="E43" s="34">
        <f>IF($D43="","",IFERROR(VLOOKUP($D43,'Services &amp; Rates'!$A$2:$B$30,2,FALSE),""))</f>
        <v/>
      </c>
      <c r="I43" s="35">
        <f>IF(OR($A43="",$H43=""),"",$A43+$H43*7)</f>
        <v/>
      </c>
    </row>
    <row r="44">
      <c r="A44" s="33" t="n"/>
      <c r="E44" s="34">
        <f>IF($D44="","",IFERROR(VLOOKUP($D44,'Services &amp; Rates'!$A$2:$B$30,2,FALSE),""))</f>
        <v/>
      </c>
      <c r="I44" s="35">
        <f>IF(OR($A44="",$H44=""),"",$A44+$H44*7)</f>
        <v/>
      </c>
    </row>
    <row r="45">
      <c r="A45" s="33" t="n"/>
      <c r="E45" s="34">
        <f>IF($D45="","",IFERROR(VLOOKUP($D45,'Services &amp; Rates'!$A$2:$B$30,2,FALSE),""))</f>
        <v/>
      </c>
      <c r="I45" s="35">
        <f>IF(OR($A45="",$H45=""),"",$A45+$H45*7)</f>
        <v/>
      </c>
    </row>
    <row r="46">
      <c r="A46" s="33" t="n"/>
      <c r="E46" s="34">
        <f>IF($D46="","",IFERROR(VLOOKUP($D46,'Services &amp; Rates'!$A$2:$B$30,2,FALSE),""))</f>
        <v/>
      </c>
      <c r="I46" s="35">
        <f>IF(OR($A46="",$H46=""),"",$A46+$H46*7)</f>
        <v/>
      </c>
    </row>
    <row r="47">
      <c r="A47" s="33" t="n"/>
      <c r="E47" s="34">
        <f>IF($D47="","",IFERROR(VLOOKUP($D47,'Services &amp; Rates'!$A$2:$B$30,2,FALSE),""))</f>
        <v/>
      </c>
      <c r="I47" s="35">
        <f>IF(OR($A47="",$H47=""),"",$A47+$H47*7)</f>
        <v/>
      </c>
    </row>
    <row r="48">
      <c r="A48" s="33" t="n"/>
      <c r="E48" s="34">
        <f>IF($D48="","",IFERROR(VLOOKUP($D48,'Services &amp; Rates'!$A$2:$B$30,2,FALSE),""))</f>
        <v/>
      </c>
      <c r="I48" s="35">
        <f>IF(OR($A48="",$H48=""),"",$A48+$H48*7)</f>
        <v/>
      </c>
    </row>
    <row r="49">
      <c r="A49" s="33" t="n"/>
      <c r="E49" s="34">
        <f>IF($D49="","",IFERROR(VLOOKUP($D49,'Services &amp; Rates'!$A$2:$B$30,2,FALSE),""))</f>
        <v/>
      </c>
      <c r="I49" s="35">
        <f>IF(OR($A49="",$H49=""),"",$A49+$H49*7)</f>
        <v/>
      </c>
    </row>
    <row r="50">
      <c r="A50" s="33" t="n"/>
      <c r="E50" s="34">
        <f>IF($D50="","",IFERROR(VLOOKUP($D50,'Services &amp; Rates'!$A$2:$B$30,2,FALSE),""))</f>
        <v/>
      </c>
      <c r="I50" s="35">
        <f>IF(OR($A50="",$H50=""),"",$A50+$H50*7)</f>
        <v/>
      </c>
    </row>
    <row r="51">
      <c r="A51" s="33" t="n"/>
      <c r="E51" s="34">
        <f>IF($D51="","",IFERROR(VLOOKUP($D51,'Services &amp; Rates'!$A$2:$B$30,2,FALSE),""))</f>
        <v/>
      </c>
      <c r="I51" s="35">
        <f>IF(OR($A51="",$H51=""),"",$A51+$H51*7)</f>
        <v/>
      </c>
    </row>
    <row r="52">
      <c r="A52" s="33" t="n"/>
      <c r="E52" s="34">
        <f>IF($D52="","",IFERROR(VLOOKUP($D52,'Services &amp; Rates'!$A$2:$B$30,2,FALSE),""))</f>
        <v/>
      </c>
      <c r="I52" s="35">
        <f>IF(OR($A52="",$H52=""),"",$A52+$H52*7)</f>
        <v/>
      </c>
    </row>
    <row r="53">
      <c r="A53" s="33" t="n"/>
      <c r="E53" s="34">
        <f>IF($D53="","",IFERROR(VLOOKUP($D53,'Services &amp; Rates'!$A$2:$B$30,2,FALSE),""))</f>
        <v/>
      </c>
      <c r="I53" s="35">
        <f>IF(OR($A53="",$H53=""),"",$A53+$H53*7)</f>
        <v/>
      </c>
    </row>
    <row r="54">
      <c r="A54" s="33" t="n"/>
      <c r="E54" s="34">
        <f>IF($D54="","",IFERROR(VLOOKUP($D54,'Services &amp; Rates'!$A$2:$B$30,2,FALSE),""))</f>
        <v/>
      </c>
      <c r="I54" s="35">
        <f>IF(OR($A54="",$H54=""),"",$A54+$H54*7)</f>
        <v/>
      </c>
    </row>
    <row r="55">
      <c r="A55" s="33" t="n"/>
      <c r="E55" s="34">
        <f>IF($D55="","",IFERROR(VLOOKUP($D55,'Services &amp; Rates'!$A$2:$B$30,2,FALSE),""))</f>
        <v/>
      </c>
      <c r="I55" s="35">
        <f>IF(OR($A55="",$H55=""),"",$A55+$H55*7)</f>
        <v/>
      </c>
    </row>
    <row r="56">
      <c r="A56" s="33" t="n"/>
      <c r="E56" s="34">
        <f>IF($D56="","",IFERROR(VLOOKUP($D56,'Services &amp; Rates'!$A$2:$B$30,2,FALSE),""))</f>
        <v/>
      </c>
      <c r="I56" s="35">
        <f>IF(OR($A56="",$H56=""),"",$A56+$H56*7)</f>
        <v/>
      </c>
    </row>
    <row r="57">
      <c r="A57" s="33" t="n"/>
      <c r="E57" s="34">
        <f>IF($D57="","",IFERROR(VLOOKUP($D57,'Services &amp; Rates'!$A$2:$B$30,2,FALSE),""))</f>
        <v/>
      </c>
      <c r="I57" s="35">
        <f>IF(OR($A57="",$H57=""),"",$A57+$H57*7)</f>
        <v/>
      </c>
    </row>
    <row r="58">
      <c r="A58" s="33" t="n"/>
      <c r="E58" s="34">
        <f>IF($D58="","",IFERROR(VLOOKUP($D58,'Services &amp; Rates'!$A$2:$B$30,2,FALSE),""))</f>
        <v/>
      </c>
      <c r="I58" s="35">
        <f>IF(OR($A58="",$H58=""),"",$A58+$H58*7)</f>
        <v/>
      </c>
    </row>
    <row r="59">
      <c r="A59" s="33" t="n"/>
      <c r="E59" s="34">
        <f>IF($D59="","",IFERROR(VLOOKUP($D59,'Services &amp; Rates'!$A$2:$B$30,2,FALSE),""))</f>
        <v/>
      </c>
      <c r="I59" s="35">
        <f>IF(OR($A59="",$H59=""),"",$A59+$H59*7)</f>
        <v/>
      </c>
    </row>
    <row r="60">
      <c r="A60" s="33" t="n"/>
      <c r="E60" s="34">
        <f>IF($D60="","",IFERROR(VLOOKUP($D60,'Services &amp; Rates'!$A$2:$B$30,2,FALSE),""))</f>
        <v/>
      </c>
      <c r="I60" s="35">
        <f>IF(OR($A60="",$H60=""),"",$A60+$H60*7)</f>
        <v/>
      </c>
    </row>
    <row r="61">
      <c r="A61" s="33" t="n"/>
      <c r="E61" s="34">
        <f>IF($D61="","",IFERROR(VLOOKUP($D61,'Services &amp; Rates'!$A$2:$B$30,2,FALSE),""))</f>
        <v/>
      </c>
      <c r="I61" s="35">
        <f>IF(OR($A61="",$H61=""),"",$A61+$H61*7)</f>
        <v/>
      </c>
    </row>
    <row r="62">
      <c r="A62" s="33" t="n"/>
      <c r="E62" s="34">
        <f>IF($D62="","",IFERROR(VLOOKUP($D62,'Services &amp; Rates'!$A$2:$B$30,2,FALSE),""))</f>
        <v/>
      </c>
      <c r="I62" s="35">
        <f>IF(OR($A62="",$H62=""),"",$A62+$H62*7)</f>
        <v/>
      </c>
    </row>
    <row r="63">
      <c r="A63" s="33" t="n"/>
      <c r="E63" s="34">
        <f>IF($D63="","",IFERROR(VLOOKUP($D63,'Services &amp; Rates'!$A$2:$B$30,2,FALSE),""))</f>
        <v/>
      </c>
      <c r="I63" s="35">
        <f>IF(OR($A63="",$H63=""),"",$A63+$H63*7)</f>
        <v/>
      </c>
    </row>
    <row r="64">
      <c r="A64" s="33" t="n"/>
      <c r="E64" s="34">
        <f>IF($D64="","",IFERROR(VLOOKUP($D64,'Services &amp; Rates'!$A$2:$B$30,2,FALSE),""))</f>
        <v/>
      </c>
      <c r="I64" s="35">
        <f>IF(OR($A64="",$H64=""),"",$A64+$H64*7)</f>
        <v/>
      </c>
    </row>
    <row r="65">
      <c r="A65" s="33" t="n"/>
      <c r="E65" s="34">
        <f>IF($D65="","",IFERROR(VLOOKUP($D65,'Services &amp; Rates'!$A$2:$B$30,2,FALSE),""))</f>
        <v/>
      </c>
      <c r="I65" s="35">
        <f>IF(OR($A65="",$H65=""),"",$A65+$H65*7)</f>
        <v/>
      </c>
    </row>
    <row r="66">
      <c r="A66" s="33" t="n"/>
      <c r="E66" s="34">
        <f>IF($D66="","",IFERROR(VLOOKUP($D66,'Services &amp; Rates'!$A$2:$B$30,2,FALSE),""))</f>
        <v/>
      </c>
      <c r="I66" s="35">
        <f>IF(OR($A66="",$H66=""),"",$A66+$H66*7)</f>
        <v/>
      </c>
    </row>
    <row r="67">
      <c r="A67" s="33" t="n"/>
      <c r="E67" s="34">
        <f>IF($D67="","",IFERROR(VLOOKUP($D67,'Services &amp; Rates'!$A$2:$B$30,2,FALSE),""))</f>
        <v/>
      </c>
      <c r="I67" s="35">
        <f>IF(OR($A67="",$H67=""),"",$A67+$H67*7)</f>
        <v/>
      </c>
    </row>
    <row r="68">
      <c r="A68" s="33" t="n"/>
      <c r="E68" s="34">
        <f>IF($D68="","",IFERROR(VLOOKUP($D68,'Services &amp; Rates'!$A$2:$B$30,2,FALSE),""))</f>
        <v/>
      </c>
      <c r="I68" s="35">
        <f>IF(OR($A68="",$H68=""),"",$A68+$H68*7)</f>
        <v/>
      </c>
    </row>
    <row r="69">
      <c r="A69" s="33" t="n"/>
      <c r="E69" s="34">
        <f>IF($D69="","",IFERROR(VLOOKUP($D69,'Services &amp; Rates'!$A$2:$B$30,2,FALSE),""))</f>
        <v/>
      </c>
      <c r="I69" s="35">
        <f>IF(OR($A69="",$H69=""),"",$A69+$H69*7)</f>
        <v/>
      </c>
    </row>
    <row r="70">
      <c r="A70" s="33" t="n"/>
      <c r="E70" s="34">
        <f>IF($D70="","",IFERROR(VLOOKUP($D70,'Services &amp; Rates'!$A$2:$B$30,2,FALSE),""))</f>
        <v/>
      </c>
      <c r="I70" s="35">
        <f>IF(OR($A70="",$H70=""),"",$A70+$H70*7)</f>
        <v/>
      </c>
    </row>
    <row r="71">
      <c r="A71" s="33" t="n"/>
      <c r="E71" s="34">
        <f>IF($D71="","",IFERROR(VLOOKUP($D71,'Services &amp; Rates'!$A$2:$B$30,2,FALSE),""))</f>
        <v/>
      </c>
      <c r="I71" s="35">
        <f>IF(OR($A71="",$H71=""),"",$A71+$H71*7)</f>
        <v/>
      </c>
    </row>
    <row r="72">
      <c r="A72" s="33" t="n"/>
      <c r="E72" s="34">
        <f>IF($D72="","",IFERROR(VLOOKUP($D72,'Services &amp; Rates'!$A$2:$B$30,2,FALSE),""))</f>
        <v/>
      </c>
      <c r="I72" s="35">
        <f>IF(OR($A72="",$H72=""),"",$A72+$H72*7)</f>
        <v/>
      </c>
    </row>
    <row r="73">
      <c r="A73" s="33" t="n"/>
      <c r="E73" s="34">
        <f>IF($D73="","",IFERROR(VLOOKUP($D73,'Services &amp; Rates'!$A$2:$B$30,2,FALSE),""))</f>
        <v/>
      </c>
      <c r="I73" s="35">
        <f>IF(OR($A73="",$H73=""),"",$A73+$H73*7)</f>
        <v/>
      </c>
    </row>
    <row r="74">
      <c r="A74" s="33" t="n"/>
      <c r="E74" s="34">
        <f>IF($D74="","",IFERROR(VLOOKUP($D74,'Services &amp; Rates'!$A$2:$B$30,2,FALSE),""))</f>
        <v/>
      </c>
      <c r="I74" s="35">
        <f>IF(OR($A74="",$H74=""),"",$A74+$H74*7)</f>
        <v/>
      </c>
    </row>
    <row r="75">
      <c r="A75" s="33" t="n"/>
      <c r="E75" s="34">
        <f>IF($D75="","",IFERROR(VLOOKUP($D75,'Services &amp; Rates'!$A$2:$B$30,2,FALSE),""))</f>
        <v/>
      </c>
      <c r="I75" s="35">
        <f>IF(OR($A75="",$H75=""),"",$A75+$H75*7)</f>
        <v/>
      </c>
    </row>
    <row r="76">
      <c r="A76" s="33" t="n"/>
      <c r="E76" s="34">
        <f>IF($D76="","",IFERROR(VLOOKUP($D76,'Services &amp; Rates'!$A$2:$B$30,2,FALSE),""))</f>
        <v/>
      </c>
      <c r="I76" s="35">
        <f>IF(OR($A76="",$H76=""),"",$A76+$H76*7)</f>
        <v/>
      </c>
    </row>
    <row r="77">
      <c r="A77" s="33" t="n"/>
      <c r="E77" s="34">
        <f>IF($D77="","",IFERROR(VLOOKUP($D77,'Services &amp; Rates'!$A$2:$B$30,2,FALSE),""))</f>
        <v/>
      </c>
      <c r="I77" s="35">
        <f>IF(OR($A77="",$H77=""),"",$A77+$H77*7)</f>
        <v/>
      </c>
    </row>
    <row r="78">
      <c r="A78" s="33" t="n"/>
      <c r="E78" s="34">
        <f>IF($D78="","",IFERROR(VLOOKUP($D78,'Services &amp; Rates'!$A$2:$B$30,2,FALSE),""))</f>
        <v/>
      </c>
      <c r="I78" s="35">
        <f>IF(OR($A78="",$H78=""),"",$A78+$H78*7)</f>
        <v/>
      </c>
    </row>
    <row r="79">
      <c r="A79" s="33" t="n"/>
      <c r="E79" s="34">
        <f>IF($D79="","",IFERROR(VLOOKUP($D79,'Services &amp; Rates'!$A$2:$B$30,2,FALSE),""))</f>
        <v/>
      </c>
      <c r="I79" s="35">
        <f>IF(OR($A79="",$H79=""),"",$A79+$H79*7)</f>
        <v/>
      </c>
    </row>
    <row r="80">
      <c r="A80" s="33" t="n"/>
      <c r="E80" s="34">
        <f>IF($D80="","",IFERROR(VLOOKUP($D80,'Services &amp; Rates'!$A$2:$B$30,2,FALSE),""))</f>
        <v/>
      </c>
      <c r="I80" s="35">
        <f>IF(OR($A80="",$H80=""),"",$A80+$H80*7)</f>
        <v/>
      </c>
    </row>
    <row r="81">
      <c r="A81" s="33" t="n"/>
      <c r="E81" s="34">
        <f>IF($D81="","",IFERROR(VLOOKUP($D81,'Services &amp; Rates'!$A$2:$B$30,2,FALSE),""))</f>
        <v/>
      </c>
      <c r="I81" s="35">
        <f>IF(OR($A81="",$H81=""),"",$A81+$H81*7)</f>
        <v/>
      </c>
    </row>
    <row r="82">
      <c r="A82" s="33" t="n"/>
      <c r="E82" s="34">
        <f>IF($D82="","",IFERROR(VLOOKUP($D82,'Services &amp; Rates'!$A$2:$B$30,2,FALSE),""))</f>
        <v/>
      </c>
      <c r="I82" s="35">
        <f>IF(OR($A82="",$H82=""),"",$A82+$H82*7)</f>
        <v/>
      </c>
    </row>
    <row r="83">
      <c r="A83" s="33" t="n"/>
      <c r="E83" s="34">
        <f>IF($D83="","",IFERROR(VLOOKUP($D83,'Services &amp; Rates'!$A$2:$B$30,2,FALSE),""))</f>
        <v/>
      </c>
      <c r="I83" s="35">
        <f>IF(OR($A83="",$H83=""),"",$A83+$H83*7)</f>
        <v/>
      </c>
    </row>
    <row r="84">
      <c r="A84" s="33" t="n"/>
      <c r="E84" s="34">
        <f>IF($D84="","",IFERROR(VLOOKUP($D84,'Services &amp; Rates'!$A$2:$B$30,2,FALSE),""))</f>
        <v/>
      </c>
      <c r="I84" s="35">
        <f>IF(OR($A84="",$H84=""),"",$A84+$H84*7)</f>
        <v/>
      </c>
    </row>
    <row r="85">
      <c r="A85" s="33" t="n"/>
      <c r="E85" s="34">
        <f>IF($D85="","",IFERROR(VLOOKUP($D85,'Services &amp; Rates'!$A$2:$B$30,2,FALSE),""))</f>
        <v/>
      </c>
      <c r="I85" s="35">
        <f>IF(OR($A85="",$H85=""),"",$A85+$H85*7)</f>
        <v/>
      </c>
    </row>
    <row r="86">
      <c r="A86" s="33" t="n"/>
      <c r="E86" s="34">
        <f>IF($D86="","",IFERROR(VLOOKUP($D86,'Services &amp; Rates'!$A$2:$B$30,2,FALSE),""))</f>
        <v/>
      </c>
      <c r="I86" s="35">
        <f>IF(OR($A86="",$H86=""),"",$A86+$H86*7)</f>
        <v/>
      </c>
    </row>
    <row r="87">
      <c r="A87" s="33" t="n"/>
      <c r="E87" s="34">
        <f>IF($D87="","",IFERROR(VLOOKUP($D87,'Services &amp; Rates'!$A$2:$B$30,2,FALSE),""))</f>
        <v/>
      </c>
      <c r="I87" s="35">
        <f>IF(OR($A87="",$H87=""),"",$A87+$H87*7)</f>
        <v/>
      </c>
    </row>
    <row r="88">
      <c r="A88" s="33" t="n"/>
      <c r="E88" s="34">
        <f>IF($D88="","",IFERROR(VLOOKUP($D88,'Services &amp; Rates'!$A$2:$B$30,2,FALSE),""))</f>
        <v/>
      </c>
      <c r="I88" s="35">
        <f>IF(OR($A88="",$H88=""),"",$A88+$H88*7)</f>
        <v/>
      </c>
    </row>
    <row r="89">
      <c r="A89" s="33" t="n"/>
      <c r="E89" s="34">
        <f>IF($D89="","",IFERROR(VLOOKUP($D89,'Services &amp; Rates'!$A$2:$B$30,2,FALSE),""))</f>
        <v/>
      </c>
      <c r="I89" s="35">
        <f>IF(OR($A89="",$H89=""),"",$A89+$H89*7)</f>
        <v/>
      </c>
    </row>
    <row r="90">
      <c r="A90" s="33" t="n"/>
      <c r="E90" s="34">
        <f>IF($D90="","",IFERROR(VLOOKUP($D90,'Services &amp; Rates'!$A$2:$B$30,2,FALSE),""))</f>
        <v/>
      </c>
      <c r="I90" s="35">
        <f>IF(OR($A90="",$H90=""),"",$A90+$H90*7)</f>
        <v/>
      </c>
    </row>
    <row r="91">
      <c r="A91" s="33" t="n"/>
      <c r="E91" s="34">
        <f>IF($D91="","",IFERROR(VLOOKUP($D91,'Services &amp; Rates'!$A$2:$B$30,2,FALSE),""))</f>
        <v/>
      </c>
      <c r="I91" s="35">
        <f>IF(OR($A91="",$H91=""),"",$A91+$H91*7)</f>
        <v/>
      </c>
    </row>
    <row r="92">
      <c r="A92" s="33" t="n"/>
      <c r="E92" s="34">
        <f>IF($D92="","",IFERROR(VLOOKUP($D92,'Services &amp; Rates'!$A$2:$B$30,2,FALSE),""))</f>
        <v/>
      </c>
      <c r="I92" s="35">
        <f>IF(OR($A92="",$H92=""),"",$A92+$H92*7)</f>
        <v/>
      </c>
    </row>
    <row r="93">
      <c r="A93" s="33" t="n"/>
      <c r="E93" s="34">
        <f>IF($D93="","",IFERROR(VLOOKUP($D93,'Services &amp; Rates'!$A$2:$B$30,2,FALSE),""))</f>
        <v/>
      </c>
      <c r="I93" s="35">
        <f>IF(OR($A93="",$H93=""),"",$A93+$H93*7)</f>
        <v/>
      </c>
    </row>
    <row r="94">
      <c r="A94" s="33" t="n"/>
      <c r="E94" s="34">
        <f>IF($D94="","",IFERROR(VLOOKUP($D94,'Services &amp; Rates'!$A$2:$B$30,2,FALSE),""))</f>
        <v/>
      </c>
      <c r="I94" s="35">
        <f>IF(OR($A94="",$H94=""),"",$A94+$H94*7)</f>
        <v/>
      </c>
    </row>
    <row r="95">
      <c r="A95" s="33" t="n"/>
      <c r="E95" s="34">
        <f>IF($D95="","",IFERROR(VLOOKUP($D95,'Services &amp; Rates'!$A$2:$B$30,2,FALSE),""))</f>
        <v/>
      </c>
      <c r="I95" s="35">
        <f>IF(OR($A95="",$H95=""),"",$A95+$H95*7)</f>
        <v/>
      </c>
    </row>
    <row r="96">
      <c r="A96" s="33" t="n"/>
      <c r="E96" s="34">
        <f>IF($D96="","",IFERROR(VLOOKUP($D96,'Services &amp; Rates'!$A$2:$B$30,2,FALSE),""))</f>
        <v/>
      </c>
      <c r="I96" s="35">
        <f>IF(OR($A96="",$H96=""),"",$A96+$H96*7)</f>
        <v/>
      </c>
    </row>
    <row r="97">
      <c r="A97" s="33" t="n"/>
      <c r="E97" s="34">
        <f>IF($D97="","",IFERROR(VLOOKUP($D97,'Services &amp; Rates'!$A$2:$B$30,2,FALSE),""))</f>
        <v/>
      </c>
      <c r="I97" s="35">
        <f>IF(OR($A97="",$H97=""),"",$A97+$H97*7)</f>
        <v/>
      </c>
    </row>
    <row r="98">
      <c r="A98" s="33" t="n"/>
      <c r="E98" s="34">
        <f>IF($D98="","",IFERROR(VLOOKUP($D98,'Services &amp; Rates'!$A$2:$B$30,2,FALSE),""))</f>
        <v/>
      </c>
      <c r="I98" s="35">
        <f>IF(OR($A98="",$H98=""),"",$A98+$H98*7)</f>
        <v/>
      </c>
    </row>
    <row r="99">
      <c r="A99" s="33" t="n"/>
      <c r="E99" s="34">
        <f>IF($D99="","",IFERROR(VLOOKUP($D99,'Services &amp; Rates'!$A$2:$B$30,2,FALSE),""))</f>
        <v/>
      </c>
      <c r="I99" s="35">
        <f>IF(OR($A99="",$H99=""),"",$A99+$H99*7)</f>
        <v/>
      </c>
    </row>
    <row r="100">
      <c r="A100" s="33" t="n"/>
      <c r="E100" s="34">
        <f>IF($D100="","",IFERROR(VLOOKUP($D100,'Services &amp; Rates'!$A$2:$B$30,2,FALSE),""))</f>
        <v/>
      </c>
      <c r="I100" s="35">
        <f>IF(OR($A100="",$H100=""),"",$A100+$H100*7)</f>
        <v/>
      </c>
    </row>
    <row r="101">
      <c r="A101" s="33" t="n"/>
      <c r="E101" s="34">
        <f>IF($D101="","",IFERROR(VLOOKUP($D101,'Services &amp; Rates'!$A$2:$B$30,2,FALSE),""))</f>
        <v/>
      </c>
      <c r="I101" s="35">
        <f>IF(OR($A101="",$H101=""),"",$A101+$H101*7)</f>
        <v/>
      </c>
    </row>
    <row r="102">
      <c r="A102" s="33" t="n"/>
      <c r="E102" s="34">
        <f>IF($D102="","",IFERROR(VLOOKUP($D102,'Services &amp; Rates'!$A$2:$B$30,2,FALSE),""))</f>
        <v/>
      </c>
      <c r="I102" s="35">
        <f>IF(OR($A102="",$H102=""),"",$A102+$H102*7)</f>
        <v/>
      </c>
    </row>
    <row r="103">
      <c r="A103" s="33" t="n"/>
      <c r="E103" s="34">
        <f>IF($D103="","",IFERROR(VLOOKUP($D103,'Services &amp; Rates'!$A$2:$B$30,2,FALSE),""))</f>
        <v/>
      </c>
      <c r="I103" s="35">
        <f>IF(OR($A103="",$H103=""),"",$A103+$H103*7)</f>
        <v/>
      </c>
    </row>
    <row r="104">
      <c r="A104" s="33" t="n"/>
      <c r="E104" s="34">
        <f>IF($D104="","",IFERROR(VLOOKUP($D104,'Services &amp; Rates'!$A$2:$B$30,2,FALSE),""))</f>
        <v/>
      </c>
      <c r="I104" s="35">
        <f>IF(OR($A104="",$H104=""),"",$A104+$H104*7)</f>
        <v/>
      </c>
    </row>
    <row r="105">
      <c r="A105" s="33" t="n"/>
      <c r="E105" s="34">
        <f>IF($D105="","",IFERROR(VLOOKUP($D105,'Services &amp; Rates'!$A$2:$B$30,2,FALSE),""))</f>
        <v/>
      </c>
      <c r="I105" s="35">
        <f>IF(OR($A105="",$H105=""),"",$A105+$H105*7)</f>
        <v/>
      </c>
    </row>
    <row r="106">
      <c r="A106" s="33" t="n"/>
      <c r="E106" s="34">
        <f>IF($D106="","",IFERROR(VLOOKUP($D106,'Services &amp; Rates'!$A$2:$B$30,2,FALSE),""))</f>
        <v/>
      </c>
      <c r="I106" s="35">
        <f>IF(OR($A106="",$H106=""),"",$A106+$H106*7)</f>
        <v/>
      </c>
    </row>
    <row r="107">
      <c r="A107" s="33" t="n"/>
      <c r="E107" s="34">
        <f>IF($D107="","",IFERROR(VLOOKUP($D107,'Services &amp; Rates'!$A$2:$B$30,2,FALSE),""))</f>
        <v/>
      </c>
      <c r="I107" s="35">
        <f>IF(OR($A107="",$H107=""),"",$A107+$H107*7)</f>
        <v/>
      </c>
    </row>
    <row r="108">
      <c r="A108" s="33" t="n"/>
      <c r="E108" s="34">
        <f>IF($D108="","",IFERROR(VLOOKUP($D108,'Services &amp; Rates'!$A$2:$B$30,2,FALSE),""))</f>
        <v/>
      </c>
      <c r="I108" s="35">
        <f>IF(OR($A108="",$H108=""),"",$A108+$H108*7)</f>
        <v/>
      </c>
    </row>
    <row r="109">
      <c r="A109" s="33" t="n"/>
      <c r="E109" s="34">
        <f>IF($D109="","",IFERROR(VLOOKUP($D109,'Services &amp; Rates'!$A$2:$B$30,2,FALSE),""))</f>
        <v/>
      </c>
      <c r="I109" s="35">
        <f>IF(OR($A109="",$H109=""),"",$A109+$H109*7)</f>
        <v/>
      </c>
    </row>
    <row r="110">
      <c r="A110" s="33" t="n"/>
      <c r="E110" s="34">
        <f>IF($D110="","",IFERROR(VLOOKUP($D110,'Services &amp; Rates'!$A$2:$B$30,2,FALSE),""))</f>
        <v/>
      </c>
      <c r="I110" s="35">
        <f>IF(OR($A110="",$H110=""),"",$A110+$H110*7)</f>
        <v/>
      </c>
    </row>
    <row r="111">
      <c r="A111" s="33" t="n"/>
      <c r="E111" s="34">
        <f>IF($D111="","",IFERROR(VLOOKUP($D111,'Services &amp; Rates'!$A$2:$B$30,2,FALSE),""))</f>
        <v/>
      </c>
      <c r="I111" s="35">
        <f>IF(OR($A111="",$H111=""),"",$A111+$H111*7)</f>
        <v/>
      </c>
    </row>
    <row r="112">
      <c r="A112" s="33" t="n"/>
      <c r="E112" s="34">
        <f>IF($D112="","",IFERROR(VLOOKUP($D112,'Services &amp; Rates'!$A$2:$B$30,2,FALSE),""))</f>
        <v/>
      </c>
      <c r="I112" s="35">
        <f>IF(OR($A112="",$H112=""),"",$A112+$H112*7)</f>
        <v/>
      </c>
    </row>
    <row r="113">
      <c r="A113" s="33" t="n"/>
      <c r="E113" s="34">
        <f>IF($D113="","",IFERROR(VLOOKUP($D113,'Services &amp; Rates'!$A$2:$B$30,2,FALSE),""))</f>
        <v/>
      </c>
      <c r="I113" s="35">
        <f>IF(OR($A113="",$H113=""),"",$A113+$H113*7)</f>
        <v/>
      </c>
    </row>
    <row r="114">
      <c r="A114" s="33" t="n"/>
      <c r="E114" s="34">
        <f>IF($D114="","",IFERROR(VLOOKUP($D114,'Services &amp; Rates'!$A$2:$B$30,2,FALSE),""))</f>
        <v/>
      </c>
      <c r="I114" s="35">
        <f>IF(OR($A114="",$H114=""),"",$A114+$H114*7)</f>
        <v/>
      </c>
    </row>
    <row r="115">
      <c r="A115" s="33" t="n"/>
      <c r="E115" s="34">
        <f>IF($D115="","",IFERROR(VLOOKUP($D115,'Services &amp; Rates'!$A$2:$B$30,2,FALSE),""))</f>
        <v/>
      </c>
      <c r="I115" s="35">
        <f>IF(OR($A115="",$H115=""),"",$A115+$H115*7)</f>
        <v/>
      </c>
    </row>
    <row r="116">
      <c r="A116" s="33" t="n"/>
      <c r="E116" s="34">
        <f>IF($D116="","",IFERROR(VLOOKUP($D116,'Services &amp; Rates'!$A$2:$B$30,2,FALSE),""))</f>
        <v/>
      </c>
      <c r="I116" s="35">
        <f>IF(OR($A116="",$H116=""),"",$A116+$H116*7)</f>
        <v/>
      </c>
    </row>
    <row r="117">
      <c r="A117" s="33" t="n"/>
      <c r="E117" s="34">
        <f>IF($D117="","",IFERROR(VLOOKUP($D117,'Services &amp; Rates'!$A$2:$B$30,2,FALSE),""))</f>
        <v/>
      </c>
      <c r="I117" s="35">
        <f>IF(OR($A117="",$H117=""),"",$A117+$H117*7)</f>
        <v/>
      </c>
    </row>
    <row r="118">
      <c r="A118" s="33" t="n"/>
      <c r="E118" s="34">
        <f>IF($D118="","",IFERROR(VLOOKUP($D118,'Services &amp; Rates'!$A$2:$B$30,2,FALSE),""))</f>
        <v/>
      </c>
      <c r="I118" s="35">
        <f>IF(OR($A118="",$H118=""),"",$A118+$H118*7)</f>
        <v/>
      </c>
    </row>
    <row r="119">
      <c r="A119" s="33" t="n"/>
      <c r="E119" s="34">
        <f>IF($D119="","",IFERROR(VLOOKUP($D119,'Services &amp; Rates'!$A$2:$B$30,2,FALSE),""))</f>
        <v/>
      </c>
      <c r="I119" s="35">
        <f>IF(OR($A119="",$H119=""),"",$A119+$H119*7)</f>
        <v/>
      </c>
    </row>
    <row r="120">
      <c r="A120" s="33" t="n"/>
      <c r="E120" s="34">
        <f>IF($D120="","",IFERROR(VLOOKUP($D120,'Services &amp; Rates'!$A$2:$B$30,2,FALSE),""))</f>
        <v/>
      </c>
      <c r="I120" s="35">
        <f>IF(OR($A120="",$H120=""),"",$A120+$H120*7)</f>
        <v/>
      </c>
    </row>
    <row r="121">
      <c r="A121" s="33" t="n"/>
      <c r="E121" s="34">
        <f>IF($D121="","",IFERROR(VLOOKUP($D121,'Services &amp; Rates'!$A$2:$B$30,2,FALSE),""))</f>
        <v/>
      </c>
      <c r="I121" s="35">
        <f>IF(OR($A121="",$H121=""),"",$A121+$H121*7)</f>
        <v/>
      </c>
    </row>
    <row r="122">
      <c r="A122" s="33" t="n"/>
      <c r="E122" s="34">
        <f>IF($D122="","",IFERROR(VLOOKUP($D122,'Services &amp; Rates'!$A$2:$B$30,2,FALSE),""))</f>
        <v/>
      </c>
      <c r="I122" s="35">
        <f>IF(OR($A122="",$H122=""),"",$A122+$H122*7)</f>
        <v/>
      </c>
    </row>
    <row r="123">
      <c r="A123" s="33" t="n"/>
      <c r="E123" s="34">
        <f>IF($D123="","",IFERROR(VLOOKUP($D123,'Services &amp; Rates'!$A$2:$B$30,2,FALSE),""))</f>
        <v/>
      </c>
      <c r="I123" s="35">
        <f>IF(OR($A123="",$H123=""),"",$A123+$H123*7)</f>
        <v/>
      </c>
    </row>
    <row r="124">
      <c r="A124" s="33" t="n"/>
      <c r="E124" s="34">
        <f>IF($D124="","",IFERROR(VLOOKUP($D124,'Services &amp; Rates'!$A$2:$B$30,2,FALSE),""))</f>
        <v/>
      </c>
      <c r="I124" s="35">
        <f>IF(OR($A124="",$H124=""),"",$A124+$H124*7)</f>
        <v/>
      </c>
    </row>
    <row r="125">
      <c r="A125" s="33" t="n"/>
      <c r="E125" s="34">
        <f>IF($D125="","",IFERROR(VLOOKUP($D125,'Services &amp; Rates'!$A$2:$B$30,2,FALSE),""))</f>
        <v/>
      </c>
      <c r="I125" s="35">
        <f>IF(OR($A125="",$H125=""),"",$A125+$H125*7)</f>
        <v/>
      </c>
    </row>
    <row r="126">
      <c r="A126" s="33" t="n"/>
      <c r="E126" s="34">
        <f>IF($D126="","",IFERROR(VLOOKUP($D126,'Services &amp; Rates'!$A$2:$B$30,2,FALSE),""))</f>
        <v/>
      </c>
      <c r="I126" s="35">
        <f>IF(OR($A126="",$H126=""),"",$A126+$H126*7)</f>
        <v/>
      </c>
    </row>
    <row r="127">
      <c r="A127" s="33" t="n"/>
      <c r="E127" s="34">
        <f>IF($D127="","",IFERROR(VLOOKUP($D127,'Services &amp; Rates'!$A$2:$B$30,2,FALSE),""))</f>
        <v/>
      </c>
      <c r="I127" s="35">
        <f>IF(OR($A127="",$H127=""),"",$A127+$H127*7)</f>
        <v/>
      </c>
    </row>
    <row r="128">
      <c r="A128" s="33" t="n"/>
      <c r="E128" s="34">
        <f>IF($D128="","",IFERROR(VLOOKUP($D128,'Services &amp; Rates'!$A$2:$B$30,2,FALSE),""))</f>
        <v/>
      </c>
      <c r="I128" s="35">
        <f>IF(OR($A128="",$H128=""),"",$A128+$H128*7)</f>
        <v/>
      </c>
    </row>
    <row r="129">
      <c r="A129" s="33" t="n"/>
      <c r="E129" s="34">
        <f>IF($D129="","",IFERROR(VLOOKUP($D129,'Services &amp; Rates'!$A$2:$B$30,2,FALSE),""))</f>
        <v/>
      </c>
      <c r="I129" s="35">
        <f>IF(OR($A129="",$H129=""),"",$A129+$H129*7)</f>
        <v/>
      </c>
    </row>
    <row r="130">
      <c r="A130" s="33" t="n"/>
      <c r="E130" s="34">
        <f>IF($D130="","",IFERROR(VLOOKUP($D130,'Services &amp; Rates'!$A$2:$B$30,2,FALSE),""))</f>
        <v/>
      </c>
      <c r="I130" s="35">
        <f>IF(OR($A130="",$H130=""),"",$A130+$H130*7)</f>
        <v/>
      </c>
    </row>
    <row r="131">
      <c r="A131" s="33" t="n"/>
      <c r="E131" s="34">
        <f>IF($D131="","",IFERROR(VLOOKUP($D131,'Services &amp; Rates'!$A$2:$B$30,2,FALSE),""))</f>
        <v/>
      </c>
      <c r="I131" s="35">
        <f>IF(OR($A131="",$H131=""),"",$A131+$H131*7)</f>
        <v/>
      </c>
    </row>
    <row r="132">
      <c r="A132" s="33" t="n"/>
      <c r="E132" s="34">
        <f>IF($D132="","",IFERROR(VLOOKUP($D132,'Services &amp; Rates'!$A$2:$B$30,2,FALSE),""))</f>
        <v/>
      </c>
      <c r="I132" s="35">
        <f>IF(OR($A132="",$H132=""),"",$A132+$H132*7)</f>
        <v/>
      </c>
    </row>
    <row r="133">
      <c r="A133" s="33" t="n"/>
      <c r="E133" s="34">
        <f>IF($D133="","",IFERROR(VLOOKUP($D133,'Services &amp; Rates'!$A$2:$B$30,2,FALSE),""))</f>
        <v/>
      </c>
      <c r="I133" s="35">
        <f>IF(OR($A133="",$H133=""),"",$A133+$H133*7)</f>
        <v/>
      </c>
    </row>
    <row r="134">
      <c r="A134" s="33" t="n"/>
      <c r="E134" s="34">
        <f>IF($D134="","",IFERROR(VLOOKUP($D134,'Services &amp; Rates'!$A$2:$B$30,2,FALSE),""))</f>
        <v/>
      </c>
      <c r="I134" s="35">
        <f>IF(OR($A134="",$H134=""),"",$A134+$H134*7)</f>
        <v/>
      </c>
    </row>
    <row r="135">
      <c r="A135" s="33" t="n"/>
      <c r="E135" s="34">
        <f>IF($D135="","",IFERROR(VLOOKUP($D135,'Services &amp; Rates'!$A$2:$B$30,2,FALSE),""))</f>
        <v/>
      </c>
      <c r="I135" s="35">
        <f>IF(OR($A135="",$H135=""),"",$A135+$H135*7)</f>
        <v/>
      </c>
    </row>
    <row r="136">
      <c r="A136" s="33" t="n"/>
      <c r="E136" s="34">
        <f>IF($D136="","",IFERROR(VLOOKUP($D136,'Services &amp; Rates'!$A$2:$B$30,2,FALSE),""))</f>
        <v/>
      </c>
      <c r="I136" s="35">
        <f>IF(OR($A136="",$H136=""),"",$A136+$H136*7)</f>
        <v/>
      </c>
    </row>
    <row r="137">
      <c r="A137" s="33" t="n"/>
      <c r="E137" s="34">
        <f>IF($D137="","",IFERROR(VLOOKUP($D137,'Services &amp; Rates'!$A$2:$B$30,2,FALSE),""))</f>
        <v/>
      </c>
      <c r="I137" s="35">
        <f>IF(OR($A137="",$H137=""),"",$A137+$H137*7)</f>
        <v/>
      </c>
    </row>
    <row r="138">
      <c r="A138" s="33" t="n"/>
      <c r="E138" s="34">
        <f>IF($D138="","",IFERROR(VLOOKUP($D138,'Services &amp; Rates'!$A$2:$B$30,2,FALSE),""))</f>
        <v/>
      </c>
      <c r="I138" s="35">
        <f>IF(OR($A138="",$H138=""),"",$A138+$H138*7)</f>
        <v/>
      </c>
    </row>
    <row r="139">
      <c r="A139" s="33" t="n"/>
      <c r="E139" s="34">
        <f>IF($D139="","",IFERROR(VLOOKUP($D139,'Services &amp; Rates'!$A$2:$B$30,2,FALSE),""))</f>
        <v/>
      </c>
      <c r="I139" s="35">
        <f>IF(OR($A139="",$H139=""),"",$A139+$H139*7)</f>
        <v/>
      </c>
    </row>
    <row r="140">
      <c r="A140" s="33" t="n"/>
      <c r="E140" s="34">
        <f>IF($D140="","",IFERROR(VLOOKUP($D140,'Services &amp; Rates'!$A$2:$B$30,2,FALSE),""))</f>
        <v/>
      </c>
      <c r="I140" s="35">
        <f>IF(OR($A140="",$H140=""),"",$A140+$H140*7)</f>
        <v/>
      </c>
    </row>
    <row r="141">
      <c r="A141" s="33" t="n"/>
      <c r="E141" s="34">
        <f>IF($D141="","",IFERROR(VLOOKUP($D141,'Services &amp; Rates'!$A$2:$B$30,2,FALSE),""))</f>
        <v/>
      </c>
      <c r="I141" s="35">
        <f>IF(OR($A141="",$H141=""),"",$A141+$H141*7)</f>
        <v/>
      </c>
    </row>
    <row r="142">
      <c r="A142" s="33" t="n"/>
      <c r="E142" s="34">
        <f>IF($D142="","",IFERROR(VLOOKUP($D142,'Services &amp; Rates'!$A$2:$B$30,2,FALSE),""))</f>
        <v/>
      </c>
      <c r="I142" s="35">
        <f>IF(OR($A142="",$H142=""),"",$A142+$H142*7)</f>
        <v/>
      </c>
    </row>
    <row r="143">
      <c r="A143" s="33" t="n"/>
      <c r="E143" s="34">
        <f>IF($D143="","",IFERROR(VLOOKUP($D143,'Services &amp; Rates'!$A$2:$B$30,2,FALSE),""))</f>
        <v/>
      </c>
      <c r="I143" s="35">
        <f>IF(OR($A143="",$H143=""),"",$A143+$H143*7)</f>
        <v/>
      </c>
    </row>
    <row r="144">
      <c r="A144" s="33" t="n"/>
      <c r="E144" s="34">
        <f>IF($D144="","",IFERROR(VLOOKUP($D144,'Services &amp; Rates'!$A$2:$B$30,2,FALSE),""))</f>
        <v/>
      </c>
      <c r="I144" s="35">
        <f>IF(OR($A144="",$H144=""),"",$A144+$H144*7)</f>
        <v/>
      </c>
    </row>
    <row r="145">
      <c r="A145" s="33" t="n"/>
      <c r="E145" s="34">
        <f>IF($D145="","",IFERROR(VLOOKUP($D145,'Services &amp; Rates'!$A$2:$B$30,2,FALSE),""))</f>
        <v/>
      </c>
      <c r="I145" s="35">
        <f>IF(OR($A145="",$H145=""),"",$A145+$H145*7)</f>
        <v/>
      </c>
    </row>
    <row r="146">
      <c r="A146" s="33" t="n"/>
      <c r="E146" s="34">
        <f>IF($D146="","",IFERROR(VLOOKUP($D146,'Services &amp; Rates'!$A$2:$B$30,2,FALSE),""))</f>
        <v/>
      </c>
      <c r="I146" s="35">
        <f>IF(OR($A146="",$H146=""),"",$A146+$H146*7)</f>
        <v/>
      </c>
    </row>
    <row r="147">
      <c r="A147" s="33" t="n"/>
      <c r="E147" s="34">
        <f>IF($D147="","",IFERROR(VLOOKUP($D147,'Services &amp; Rates'!$A$2:$B$30,2,FALSE),""))</f>
        <v/>
      </c>
      <c r="I147" s="35">
        <f>IF(OR($A147="",$H147=""),"",$A147+$H147*7)</f>
        <v/>
      </c>
    </row>
    <row r="148">
      <c r="A148" s="33" t="n"/>
      <c r="E148" s="34">
        <f>IF($D148="","",IFERROR(VLOOKUP($D148,'Services &amp; Rates'!$A$2:$B$30,2,FALSE),""))</f>
        <v/>
      </c>
      <c r="I148" s="35">
        <f>IF(OR($A148="",$H148=""),"",$A148+$H148*7)</f>
        <v/>
      </c>
    </row>
    <row r="149">
      <c r="A149" s="33" t="n"/>
      <c r="E149" s="34">
        <f>IF($D149="","",IFERROR(VLOOKUP($D149,'Services &amp; Rates'!$A$2:$B$30,2,FALSE),""))</f>
        <v/>
      </c>
      <c r="I149" s="35">
        <f>IF(OR($A149="",$H149=""),"",$A149+$H149*7)</f>
        <v/>
      </c>
    </row>
    <row r="150">
      <c r="A150" s="33" t="n"/>
      <c r="E150" s="34">
        <f>IF($D150="","",IFERROR(VLOOKUP($D150,'Services &amp; Rates'!$A$2:$B$30,2,FALSE),""))</f>
        <v/>
      </c>
      <c r="I150" s="35">
        <f>IF(OR($A150="",$H150=""),"",$A150+$H150*7)</f>
        <v/>
      </c>
    </row>
    <row r="151">
      <c r="A151" s="33" t="n"/>
      <c r="E151" s="34">
        <f>IF($D151="","",IFERROR(VLOOKUP($D151,'Services &amp; Rates'!$A$2:$B$30,2,FALSE),""))</f>
        <v/>
      </c>
      <c r="I151" s="35">
        <f>IF(OR($A151="",$H151=""),"",$A151+$H151*7)</f>
        <v/>
      </c>
    </row>
    <row r="152">
      <c r="A152" s="33" t="n"/>
      <c r="E152" s="34">
        <f>IF($D152="","",IFERROR(VLOOKUP($D152,'Services &amp; Rates'!$A$2:$B$30,2,FALSE),""))</f>
        <v/>
      </c>
      <c r="I152" s="35">
        <f>IF(OR($A152="",$H152=""),"",$A152+$H152*7)</f>
        <v/>
      </c>
    </row>
    <row r="153">
      <c r="A153" s="33" t="n"/>
      <c r="E153" s="34">
        <f>IF($D153="","",IFERROR(VLOOKUP($D153,'Services &amp; Rates'!$A$2:$B$30,2,FALSE),""))</f>
        <v/>
      </c>
      <c r="I153" s="35">
        <f>IF(OR($A153="",$H153=""),"",$A153+$H153*7)</f>
        <v/>
      </c>
    </row>
    <row r="154">
      <c r="A154" s="33" t="n"/>
      <c r="E154" s="34">
        <f>IF($D154="","",IFERROR(VLOOKUP($D154,'Services &amp; Rates'!$A$2:$B$30,2,FALSE),""))</f>
        <v/>
      </c>
      <c r="I154" s="35">
        <f>IF(OR($A154="",$H154=""),"",$A154+$H154*7)</f>
        <v/>
      </c>
    </row>
    <row r="155">
      <c r="A155" s="33" t="n"/>
      <c r="E155" s="34">
        <f>IF($D155="","",IFERROR(VLOOKUP($D155,'Services &amp; Rates'!$A$2:$B$30,2,FALSE),""))</f>
        <v/>
      </c>
      <c r="I155" s="35">
        <f>IF(OR($A155="",$H155=""),"",$A155+$H155*7)</f>
        <v/>
      </c>
    </row>
    <row r="156">
      <c r="A156" s="33" t="n"/>
      <c r="E156" s="34">
        <f>IF($D156="","",IFERROR(VLOOKUP($D156,'Services &amp; Rates'!$A$2:$B$30,2,FALSE),""))</f>
        <v/>
      </c>
      <c r="I156" s="35">
        <f>IF(OR($A156="",$H156=""),"",$A156+$H156*7)</f>
        <v/>
      </c>
    </row>
    <row r="157">
      <c r="A157" s="33" t="n"/>
      <c r="E157" s="34">
        <f>IF($D157="","",IFERROR(VLOOKUP($D157,'Services &amp; Rates'!$A$2:$B$30,2,FALSE),""))</f>
        <v/>
      </c>
      <c r="I157" s="35">
        <f>IF(OR($A157="",$H157=""),"",$A157+$H157*7)</f>
        <v/>
      </c>
    </row>
    <row r="158">
      <c r="A158" s="33" t="n"/>
      <c r="E158" s="34">
        <f>IF($D158="","",IFERROR(VLOOKUP($D158,'Services &amp; Rates'!$A$2:$B$30,2,FALSE),""))</f>
        <v/>
      </c>
      <c r="I158" s="35">
        <f>IF(OR($A158="",$H158=""),"",$A158+$H158*7)</f>
        <v/>
      </c>
    </row>
    <row r="159">
      <c r="A159" s="33" t="n"/>
      <c r="E159" s="34">
        <f>IF($D159="","",IFERROR(VLOOKUP($D159,'Services &amp; Rates'!$A$2:$B$30,2,FALSE),""))</f>
        <v/>
      </c>
      <c r="I159" s="35">
        <f>IF(OR($A159="",$H159=""),"",$A159+$H159*7)</f>
        <v/>
      </c>
    </row>
    <row r="160">
      <c r="A160" s="33" t="n"/>
      <c r="E160" s="34">
        <f>IF($D160="","",IFERROR(VLOOKUP($D160,'Services &amp; Rates'!$A$2:$B$30,2,FALSE),""))</f>
        <v/>
      </c>
      <c r="I160" s="35">
        <f>IF(OR($A160="",$H160=""),"",$A160+$H160*7)</f>
        <v/>
      </c>
    </row>
    <row r="161">
      <c r="A161" s="33" t="n"/>
      <c r="E161" s="34">
        <f>IF($D161="","",IFERROR(VLOOKUP($D161,'Services &amp; Rates'!$A$2:$B$30,2,FALSE),""))</f>
        <v/>
      </c>
      <c r="I161" s="35">
        <f>IF(OR($A161="",$H161=""),"",$A161+$H161*7)</f>
        <v/>
      </c>
    </row>
    <row r="162">
      <c r="A162" s="33" t="n"/>
      <c r="E162" s="34">
        <f>IF($D162="","",IFERROR(VLOOKUP($D162,'Services &amp; Rates'!$A$2:$B$30,2,FALSE),""))</f>
        <v/>
      </c>
      <c r="I162" s="35">
        <f>IF(OR($A162="",$H162=""),"",$A162+$H162*7)</f>
        <v/>
      </c>
    </row>
    <row r="163">
      <c r="A163" s="33" t="n"/>
      <c r="E163" s="34">
        <f>IF($D163="","",IFERROR(VLOOKUP($D163,'Services &amp; Rates'!$A$2:$B$30,2,FALSE),""))</f>
        <v/>
      </c>
      <c r="I163" s="35">
        <f>IF(OR($A163="",$H163=""),"",$A163+$H163*7)</f>
        <v/>
      </c>
    </row>
    <row r="164">
      <c r="A164" s="33" t="n"/>
      <c r="E164" s="34">
        <f>IF($D164="","",IFERROR(VLOOKUP($D164,'Services &amp; Rates'!$A$2:$B$30,2,FALSE),""))</f>
        <v/>
      </c>
      <c r="I164" s="35">
        <f>IF(OR($A164="",$H164=""),"",$A164+$H164*7)</f>
        <v/>
      </c>
    </row>
    <row r="165">
      <c r="A165" s="33" t="n"/>
      <c r="E165" s="34">
        <f>IF($D165="","",IFERROR(VLOOKUP($D165,'Services &amp; Rates'!$A$2:$B$30,2,FALSE),""))</f>
        <v/>
      </c>
      <c r="I165" s="35">
        <f>IF(OR($A165="",$H165=""),"",$A165+$H165*7)</f>
        <v/>
      </c>
    </row>
    <row r="166">
      <c r="A166" s="33" t="n"/>
      <c r="E166" s="34">
        <f>IF($D166="","",IFERROR(VLOOKUP($D166,'Services &amp; Rates'!$A$2:$B$30,2,FALSE),""))</f>
        <v/>
      </c>
      <c r="I166" s="35">
        <f>IF(OR($A166="",$H166=""),"",$A166+$H166*7)</f>
        <v/>
      </c>
    </row>
    <row r="167">
      <c r="A167" s="33" t="n"/>
      <c r="E167" s="34">
        <f>IF($D167="","",IFERROR(VLOOKUP($D167,'Services &amp; Rates'!$A$2:$B$30,2,FALSE),""))</f>
        <v/>
      </c>
      <c r="I167" s="35">
        <f>IF(OR($A167="",$H167=""),"",$A167+$H167*7)</f>
        <v/>
      </c>
    </row>
    <row r="168">
      <c r="A168" s="33" t="n"/>
      <c r="E168" s="34">
        <f>IF($D168="","",IFERROR(VLOOKUP($D168,'Services &amp; Rates'!$A$2:$B$30,2,FALSE),""))</f>
        <v/>
      </c>
      <c r="I168" s="35">
        <f>IF(OR($A168="",$H168=""),"",$A168+$H168*7)</f>
        <v/>
      </c>
    </row>
    <row r="169">
      <c r="A169" s="33" t="n"/>
      <c r="E169" s="34">
        <f>IF($D169="","",IFERROR(VLOOKUP($D169,'Services &amp; Rates'!$A$2:$B$30,2,FALSE),""))</f>
        <v/>
      </c>
      <c r="I169" s="35">
        <f>IF(OR($A169="",$H169=""),"",$A169+$H169*7)</f>
        <v/>
      </c>
    </row>
    <row r="170">
      <c r="A170" s="33" t="n"/>
      <c r="E170" s="34">
        <f>IF($D170="","",IFERROR(VLOOKUP($D170,'Services &amp; Rates'!$A$2:$B$30,2,FALSE),""))</f>
        <v/>
      </c>
      <c r="I170" s="35">
        <f>IF(OR($A170="",$H170=""),"",$A170+$H170*7)</f>
        <v/>
      </c>
    </row>
    <row r="171">
      <c r="A171" s="33" t="n"/>
      <c r="E171" s="34">
        <f>IF($D171="","",IFERROR(VLOOKUP($D171,'Services &amp; Rates'!$A$2:$B$30,2,FALSE),""))</f>
        <v/>
      </c>
      <c r="I171" s="35">
        <f>IF(OR($A171="",$H171=""),"",$A171+$H171*7)</f>
        <v/>
      </c>
    </row>
    <row r="172">
      <c r="A172" s="33" t="n"/>
      <c r="E172" s="34">
        <f>IF($D172="","",IFERROR(VLOOKUP($D172,'Services &amp; Rates'!$A$2:$B$30,2,FALSE),""))</f>
        <v/>
      </c>
      <c r="I172" s="35">
        <f>IF(OR($A172="",$H172=""),"",$A172+$H172*7)</f>
        <v/>
      </c>
    </row>
    <row r="173">
      <c r="A173" s="33" t="n"/>
      <c r="E173" s="34">
        <f>IF($D173="","",IFERROR(VLOOKUP($D173,'Services &amp; Rates'!$A$2:$B$30,2,FALSE),""))</f>
        <v/>
      </c>
      <c r="I173" s="35">
        <f>IF(OR($A173="",$H173=""),"",$A173+$H173*7)</f>
        <v/>
      </c>
    </row>
    <row r="174">
      <c r="A174" s="33" t="n"/>
      <c r="E174" s="34">
        <f>IF($D174="","",IFERROR(VLOOKUP($D174,'Services &amp; Rates'!$A$2:$B$30,2,FALSE),""))</f>
        <v/>
      </c>
      <c r="I174" s="35">
        <f>IF(OR($A174="",$H174=""),"",$A174+$H174*7)</f>
        <v/>
      </c>
    </row>
    <row r="175">
      <c r="A175" s="33" t="n"/>
      <c r="E175" s="34">
        <f>IF($D175="","",IFERROR(VLOOKUP($D175,'Services &amp; Rates'!$A$2:$B$30,2,FALSE),""))</f>
        <v/>
      </c>
      <c r="I175" s="35">
        <f>IF(OR($A175="",$H175=""),"",$A175+$H175*7)</f>
        <v/>
      </c>
    </row>
    <row r="176">
      <c r="A176" s="33" t="n"/>
      <c r="E176" s="34">
        <f>IF($D176="","",IFERROR(VLOOKUP($D176,'Services &amp; Rates'!$A$2:$B$30,2,FALSE),""))</f>
        <v/>
      </c>
      <c r="I176" s="35">
        <f>IF(OR($A176="",$H176=""),"",$A176+$H176*7)</f>
        <v/>
      </c>
    </row>
    <row r="177">
      <c r="A177" s="33" t="n"/>
      <c r="E177" s="34">
        <f>IF($D177="","",IFERROR(VLOOKUP($D177,'Services &amp; Rates'!$A$2:$B$30,2,FALSE),""))</f>
        <v/>
      </c>
      <c r="I177" s="35">
        <f>IF(OR($A177="",$H177=""),"",$A177+$H177*7)</f>
        <v/>
      </c>
    </row>
    <row r="178">
      <c r="A178" s="33" t="n"/>
      <c r="E178" s="34">
        <f>IF($D178="","",IFERROR(VLOOKUP($D178,'Services &amp; Rates'!$A$2:$B$30,2,FALSE),""))</f>
        <v/>
      </c>
      <c r="I178" s="35">
        <f>IF(OR($A178="",$H178=""),"",$A178+$H178*7)</f>
        <v/>
      </c>
    </row>
    <row r="179">
      <c r="A179" s="33" t="n"/>
      <c r="E179" s="34">
        <f>IF($D179="","",IFERROR(VLOOKUP($D179,'Services &amp; Rates'!$A$2:$B$30,2,FALSE),""))</f>
        <v/>
      </c>
      <c r="I179" s="35">
        <f>IF(OR($A179="",$H179=""),"",$A179+$H179*7)</f>
        <v/>
      </c>
    </row>
    <row r="180">
      <c r="A180" s="33" t="n"/>
      <c r="E180" s="34">
        <f>IF($D180="","",IFERROR(VLOOKUP($D180,'Services &amp; Rates'!$A$2:$B$30,2,FALSE),""))</f>
        <v/>
      </c>
      <c r="I180" s="35">
        <f>IF(OR($A180="",$H180=""),"",$A180+$H180*7)</f>
        <v/>
      </c>
    </row>
    <row r="181">
      <c r="A181" s="33" t="n"/>
      <c r="E181" s="34">
        <f>IF($D181="","",IFERROR(VLOOKUP($D181,'Services &amp; Rates'!$A$2:$B$30,2,FALSE),""))</f>
        <v/>
      </c>
      <c r="I181" s="35">
        <f>IF(OR($A181="",$H181=""),"",$A181+$H181*7)</f>
        <v/>
      </c>
    </row>
    <row r="182">
      <c r="A182" s="33" t="n"/>
      <c r="E182" s="34">
        <f>IF($D182="","",IFERROR(VLOOKUP($D182,'Services &amp; Rates'!$A$2:$B$30,2,FALSE),""))</f>
        <v/>
      </c>
      <c r="I182" s="35">
        <f>IF(OR($A182="",$H182=""),"",$A182+$H182*7)</f>
        <v/>
      </c>
    </row>
    <row r="183">
      <c r="A183" s="33" t="n"/>
      <c r="E183" s="34">
        <f>IF($D183="","",IFERROR(VLOOKUP($D183,'Services &amp; Rates'!$A$2:$B$30,2,FALSE),""))</f>
        <v/>
      </c>
      <c r="I183" s="35">
        <f>IF(OR($A183="",$H183=""),"",$A183+$H183*7)</f>
        <v/>
      </c>
    </row>
    <row r="184">
      <c r="A184" s="33" t="n"/>
      <c r="E184" s="34">
        <f>IF($D184="","",IFERROR(VLOOKUP($D184,'Services &amp; Rates'!$A$2:$B$30,2,FALSE),""))</f>
        <v/>
      </c>
      <c r="I184" s="35">
        <f>IF(OR($A184="",$H184=""),"",$A184+$H184*7)</f>
        <v/>
      </c>
    </row>
    <row r="185">
      <c r="A185" s="33" t="n"/>
      <c r="E185" s="34">
        <f>IF($D185="","",IFERROR(VLOOKUP($D185,'Services &amp; Rates'!$A$2:$B$30,2,FALSE),""))</f>
        <v/>
      </c>
      <c r="I185" s="35">
        <f>IF(OR($A185="",$H185=""),"",$A185+$H185*7)</f>
        <v/>
      </c>
    </row>
    <row r="186">
      <c r="A186" s="33" t="n"/>
      <c r="E186" s="34">
        <f>IF($D186="","",IFERROR(VLOOKUP($D186,'Services &amp; Rates'!$A$2:$B$30,2,FALSE),""))</f>
        <v/>
      </c>
      <c r="I186" s="35">
        <f>IF(OR($A186="",$H186=""),"",$A186+$H186*7)</f>
        <v/>
      </c>
    </row>
    <row r="187">
      <c r="A187" s="33" t="n"/>
      <c r="E187" s="34">
        <f>IF($D187="","",IFERROR(VLOOKUP($D187,'Services &amp; Rates'!$A$2:$B$30,2,FALSE),""))</f>
        <v/>
      </c>
      <c r="I187" s="35">
        <f>IF(OR($A187="",$H187=""),"",$A187+$H187*7)</f>
        <v/>
      </c>
    </row>
    <row r="188">
      <c r="A188" s="33" t="n"/>
      <c r="E188" s="34">
        <f>IF($D188="","",IFERROR(VLOOKUP($D188,'Services &amp; Rates'!$A$2:$B$30,2,FALSE),""))</f>
        <v/>
      </c>
      <c r="I188" s="35">
        <f>IF(OR($A188="",$H188=""),"",$A188+$H188*7)</f>
        <v/>
      </c>
    </row>
    <row r="189">
      <c r="A189" s="33" t="n"/>
      <c r="E189" s="34">
        <f>IF($D189="","",IFERROR(VLOOKUP($D189,'Services &amp; Rates'!$A$2:$B$30,2,FALSE),""))</f>
        <v/>
      </c>
      <c r="I189" s="35">
        <f>IF(OR($A189="",$H189=""),"",$A189+$H189*7)</f>
        <v/>
      </c>
    </row>
    <row r="190">
      <c r="A190" s="33" t="n"/>
      <c r="E190" s="34">
        <f>IF($D190="","",IFERROR(VLOOKUP($D190,'Services &amp; Rates'!$A$2:$B$30,2,FALSE),""))</f>
        <v/>
      </c>
      <c r="I190" s="35">
        <f>IF(OR($A190="",$H190=""),"",$A190+$H190*7)</f>
        <v/>
      </c>
    </row>
    <row r="191">
      <c r="A191" s="33" t="n"/>
      <c r="E191" s="34">
        <f>IF($D191="","",IFERROR(VLOOKUP($D191,'Services &amp; Rates'!$A$2:$B$30,2,FALSE),""))</f>
        <v/>
      </c>
      <c r="I191" s="35">
        <f>IF(OR($A191="",$H191=""),"",$A191+$H191*7)</f>
        <v/>
      </c>
    </row>
    <row r="192">
      <c r="A192" s="33" t="n"/>
      <c r="E192" s="34">
        <f>IF($D192="","",IFERROR(VLOOKUP($D192,'Services &amp; Rates'!$A$2:$B$30,2,FALSE),""))</f>
        <v/>
      </c>
      <c r="I192" s="35">
        <f>IF(OR($A192="",$H192=""),"",$A192+$H192*7)</f>
        <v/>
      </c>
    </row>
    <row r="193">
      <c r="A193" s="33" t="n"/>
      <c r="E193" s="34">
        <f>IF($D193="","",IFERROR(VLOOKUP($D193,'Services &amp; Rates'!$A$2:$B$30,2,FALSE),""))</f>
        <v/>
      </c>
      <c r="I193" s="35">
        <f>IF(OR($A193="",$H193=""),"",$A193+$H193*7)</f>
        <v/>
      </c>
    </row>
    <row r="194">
      <c r="A194" s="33" t="n"/>
      <c r="E194" s="34">
        <f>IF($D194="","",IFERROR(VLOOKUP($D194,'Services &amp; Rates'!$A$2:$B$30,2,FALSE),""))</f>
        <v/>
      </c>
      <c r="I194" s="35">
        <f>IF(OR($A194="",$H194=""),"",$A194+$H194*7)</f>
        <v/>
      </c>
    </row>
    <row r="195">
      <c r="A195" s="33" t="n"/>
      <c r="E195" s="34">
        <f>IF($D195="","",IFERROR(VLOOKUP($D195,'Services &amp; Rates'!$A$2:$B$30,2,FALSE),""))</f>
        <v/>
      </c>
      <c r="I195" s="35">
        <f>IF(OR($A195="",$H195=""),"",$A195+$H195*7)</f>
        <v/>
      </c>
    </row>
    <row r="196">
      <c r="A196" s="33" t="n"/>
      <c r="E196" s="34">
        <f>IF($D196="","",IFERROR(VLOOKUP($D196,'Services &amp; Rates'!$A$2:$B$30,2,FALSE),""))</f>
        <v/>
      </c>
      <c r="I196" s="35">
        <f>IF(OR($A196="",$H196=""),"",$A196+$H196*7)</f>
        <v/>
      </c>
    </row>
    <row r="197">
      <c r="A197" s="33" t="n"/>
      <c r="E197" s="34">
        <f>IF($D197="","",IFERROR(VLOOKUP($D197,'Services &amp; Rates'!$A$2:$B$30,2,FALSE),""))</f>
        <v/>
      </c>
      <c r="I197" s="35">
        <f>IF(OR($A197="",$H197=""),"",$A197+$H197*7)</f>
        <v/>
      </c>
    </row>
    <row r="198">
      <c r="A198" s="33" t="n"/>
      <c r="E198" s="34">
        <f>IF($D198="","",IFERROR(VLOOKUP($D198,'Services &amp; Rates'!$A$2:$B$30,2,FALSE),""))</f>
        <v/>
      </c>
      <c r="I198" s="35">
        <f>IF(OR($A198="",$H198=""),"",$A198+$H198*7)</f>
        <v/>
      </c>
    </row>
    <row r="199">
      <c r="A199" s="33" t="n"/>
      <c r="E199" s="34">
        <f>IF($D199="","",IFERROR(VLOOKUP($D199,'Services &amp; Rates'!$A$2:$B$30,2,FALSE),""))</f>
        <v/>
      </c>
      <c r="I199" s="35">
        <f>IF(OR($A199="",$H199=""),"",$A199+$H199*7)</f>
        <v/>
      </c>
    </row>
    <row r="200">
      <c r="A200" s="33" t="n"/>
      <c r="E200" s="34">
        <f>IF($D200="","",IFERROR(VLOOKUP($D200,'Services &amp; Rates'!$A$2:$B$30,2,FALSE),""))</f>
        <v/>
      </c>
      <c r="I200" s="35">
        <f>IF(OR($A200="",$H200=""),"",$A200+$H200*7)</f>
        <v/>
      </c>
    </row>
    <row r="201">
      <c r="A201" s="33" t="n"/>
      <c r="E201" s="34">
        <f>IF($D201="","",IFERROR(VLOOKUP($D201,'Services &amp; Rates'!$A$2:$B$30,2,FALSE),""))</f>
        <v/>
      </c>
      <c r="I201" s="35">
        <f>IF(OR($A201="",$H201=""),"",$A201+$H201*7)</f>
        <v/>
      </c>
    </row>
    <row r="202">
      <c r="A202" s="33" t="n"/>
      <c r="E202" s="34">
        <f>IF($D202="","",IFERROR(VLOOKUP($D202,'Services &amp; Rates'!$A$2:$B$30,2,FALSE),""))</f>
        <v/>
      </c>
      <c r="I202" s="35">
        <f>IF(OR($A202="",$H202=""),"",$A202+$H202*7)</f>
        <v/>
      </c>
    </row>
    <row r="203">
      <c r="A203" s="33" t="n"/>
      <c r="E203" s="34">
        <f>IF($D203="","",IFERROR(VLOOKUP($D203,'Services &amp; Rates'!$A$2:$B$30,2,FALSE),""))</f>
        <v/>
      </c>
      <c r="I203" s="35">
        <f>IF(OR($A203="",$H203=""),"",$A203+$H203*7)</f>
        <v/>
      </c>
    </row>
    <row r="204">
      <c r="A204" s="33" t="n"/>
      <c r="E204" s="34">
        <f>IF($D204="","",IFERROR(VLOOKUP($D204,'Services &amp; Rates'!$A$2:$B$30,2,FALSE),""))</f>
        <v/>
      </c>
      <c r="I204" s="35">
        <f>IF(OR($A204="",$H204=""),"",$A204+$H204*7)</f>
        <v/>
      </c>
    </row>
    <row r="205">
      <c r="A205" s="33" t="n"/>
      <c r="E205" s="34">
        <f>IF($D205="","",IFERROR(VLOOKUP($D205,'Services &amp; Rates'!$A$2:$B$30,2,FALSE),""))</f>
        <v/>
      </c>
      <c r="I205" s="35">
        <f>IF(OR($A205="",$H205=""),"",$A205+$H205*7)</f>
        <v/>
      </c>
    </row>
    <row r="206">
      <c r="A206" s="33" t="n"/>
      <c r="E206" s="34">
        <f>IF($D206="","",IFERROR(VLOOKUP($D206,'Services &amp; Rates'!$A$2:$B$30,2,FALSE),""))</f>
        <v/>
      </c>
      <c r="I206" s="35">
        <f>IF(OR($A206="",$H206=""),"",$A206+$H206*7)</f>
        <v/>
      </c>
    </row>
    <row r="207">
      <c r="A207" s="33" t="n"/>
      <c r="E207" s="34">
        <f>IF($D207="","",IFERROR(VLOOKUP($D207,'Services &amp; Rates'!$A$2:$B$30,2,FALSE),""))</f>
        <v/>
      </c>
      <c r="I207" s="35">
        <f>IF(OR($A207="",$H207=""),"",$A207+$H207*7)</f>
        <v/>
      </c>
    </row>
    <row r="208">
      <c r="A208" s="33" t="n"/>
      <c r="E208" s="34">
        <f>IF($D208="","",IFERROR(VLOOKUP($D208,'Services &amp; Rates'!$A$2:$B$30,2,FALSE),""))</f>
        <v/>
      </c>
      <c r="I208" s="35">
        <f>IF(OR($A208="",$H208=""),"",$A208+$H208*7)</f>
        <v/>
      </c>
    </row>
    <row r="209">
      <c r="A209" s="33" t="n"/>
      <c r="E209" s="34">
        <f>IF($D209="","",IFERROR(VLOOKUP($D209,'Services &amp; Rates'!$A$2:$B$30,2,FALSE),""))</f>
        <v/>
      </c>
      <c r="I209" s="35">
        <f>IF(OR($A209="",$H209=""),"",$A209+$H209*7)</f>
        <v/>
      </c>
    </row>
    <row r="210">
      <c r="A210" s="33" t="n"/>
      <c r="E210" s="34">
        <f>IF($D210="","",IFERROR(VLOOKUP($D210,'Services &amp; Rates'!$A$2:$B$30,2,FALSE),""))</f>
        <v/>
      </c>
      <c r="I210" s="35">
        <f>IF(OR($A210="",$H210=""),"",$A210+$H210*7)</f>
        <v/>
      </c>
    </row>
    <row r="211">
      <c r="A211" s="33" t="n"/>
      <c r="E211" s="34">
        <f>IF($D211="","",IFERROR(VLOOKUP($D211,'Services &amp; Rates'!$A$2:$B$30,2,FALSE),""))</f>
        <v/>
      </c>
      <c r="I211" s="35">
        <f>IF(OR($A211="",$H211=""),"",$A211+$H211*7)</f>
        <v/>
      </c>
    </row>
    <row r="212">
      <c r="A212" s="33" t="n"/>
      <c r="E212" s="34">
        <f>IF($D212="","",IFERROR(VLOOKUP($D212,'Services &amp; Rates'!$A$2:$B$30,2,FALSE),""))</f>
        <v/>
      </c>
      <c r="I212" s="35">
        <f>IF(OR($A212="",$H212=""),"",$A212+$H212*7)</f>
        <v/>
      </c>
    </row>
    <row r="213">
      <c r="A213" s="33" t="n"/>
      <c r="E213" s="34">
        <f>IF($D213="","",IFERROR(VLOOKUP($D213,'Services &amp; Rates'!$A$2:$B$30,2,FALSE),""))</f>
        <v/>
      </c>
      <c r="I213" s="35">
        <f>IF(OR($A213="",$H213=""),"",$A213+$H213*7)</f>
        <v/>
      </c>
    </row>
    <row r="214">
      <c r="A214" s="33" t="n"/>
      <c r="E214" s="34">
        <f>IF($D214="","",IFERROR(VLOOKUP($D214,'Services &amp; Rates'!$A$2:$B$30,2,FALSE),""))</f>
        <v/>
      </c>
      <c r="I214" s="35">
        <f>IF(OR($A214="",$H214=""),"",$A214+$H214*7)</f>
        <v/>
      </c>
    </row>
    <row r="215">
      <c r="A215" s="33" t="n"/>
      <c r="E215" s="34">
        <f>IF($D215="","",IFERROR(VLOOKUP($D215,'Services &amp; Rates'!$A$2:$B$30,2,FALSE),""))</f>
        <v/>
      </c>
      <c r="I215" s="35">
        <f>IF(OR($A215="",$H215=""),"",$A215+$H215*7)</f>
        <v/>
      </c>
    </row>
    <row r="216">
      <c r="A216" s="33" t="n"/>
      <c r="E216" s="34">
        <f>IF($D216="","",IFERROR(VLOOKUP($D216,'Services &amp; Rates'!$A$2:$B$30,2,FALSE),""))</f>
        <v/>
      </c>
      <c r="I216" s="35">
        <f>IF(OR($A216="",$H216=""),"",$A216+$H216*7)</f>
        <v/>
      </c>
    </row>
    <row r="217">
      <c r="A217" s="33" t="n"/>
      <c r="E217" s="34">
        <f>IF($D217="","",IFERROR(VLOOKUP($D217,'Services &amp; Rates'!$A$2:$B$30,2,FALSE),""))</f>
        <v/>
      </c>
      <c r="I217" s="35">
        <f>IF(OR($A217="",$H217=""),"",$A217+$H217*7)</f>
        <v/>
      </c>
    </row>
    <row r="218">
      <c r="A218" s="33" t="n"/>
      <c r="E218" s="34">
        <f>IF($D218="","",IFERROR(VLOOKUP($D218,'Services &amp; Rates'!$A$2:$B$30,2,FALSE),""))</f>
        <v/>
      </c>
      <c r="I218" s="35">
        <f>IF(OR($A218="",$H218=""),"",$A218+$H218*7)</f>
        <v/>
      </c>
    </row>
    <row r="219">
      <c r="A219" s="33" t="n"/>
      <c r="E219" s="34">
        <f>IF($D219="","",IFERROR(VLOOKUP($D219,'Services &amp; Rates'!$A$2:$B$30,2,FALSE),""))</f>
        <v/>
      </c>
      <c r="I219" s="35">
        <f>IF(OR($A219="",$H219=""),"",$A219+$H219*7)</f>
        <v/>
      </c>
    </row>
    <row r="220">
      <c r="A220" s="33" t="n"/>
      <c r="E220" s="34">
        <f>IF($D220="","",IFERROR(VLOOKUP($D220,'Services &amp; Rates'!$A$2:$B$30,2,FALSE),""))</f>
        <v/>
      </c>
      <c r="I220" s="35">
        <f>IF(OR($A220="",$H220=""),"",$A220+$H220*7)</f>
        <v/>
      </c>
    </row>
    <row r="221">
      <c r="A221" s="33" t="n"/>
      <c r="E221" s="34">
        <f>IF($D221="","",IFERROR(VLOOKUP($D221,'Services &amp; Rates'!$A$2:$B$30,2,FALSE),""))</f>
        <v/>
      </c>
      <c r="I221" s="35">
        <f>IF(OR($A221="",$H221=""),"",$A221+$H221*7)</f>
        <v/>
      </c>
    </row>
    <row r="222">
      <c r="A222" s="33" t="n"/>
      <c r="E222" s="34">
        <f>IF($D222="","",IFERROR(VLOOKUP($D222,'Services &amp; Rates'!$A$2:$B$30,2,FALSE),""))</f>
        <v/>
      </c>
      <c r="I222" s="35">
        <f>IF(OR($A222="",$H222=""),"",$A222+$H222*7)</f>
        <v/>
      </c>
    </row>
    <row r="223">
      <c r="A223" s="33" t="n"/>
      <c r="E223" s="34">
        <f>IF($D223="","",IFERROR(VLOOKUP($D223,'Services &amp; Rates'!$A$2:$B$30,2,FALSE),""))</f>
        <v/>
      </c>
      <c r="I223" s="35">
        <f>IF(OR($A223="",$H223=""),"",$A223+$H223*7)</f>
        <v/>
      </c>
    </row>
    <row r="224">
      <c r="A224" s="33" t="n"/>
      <c r="E224" s="34">
        <f>IF($D224="","",IFERROR(VLOOKUP($D224,'Services &amp; Rates'!$A$2:$B$30,2,FALSE),""))</f>
        <v/>
      </c>
      <c r="I224" s="35">
        <f>IF(OR($A224="",$H224=""),"",$A224+$H224*7)</f>
        <v/>
      </c>
    </row>
    <row r="225">
      <c r="A225" s="33" t="n"/>
      <c r="E225" s="34">
        <f>IF($D225="","",IFERROR(VLOOKUP($D225,'Services &amp; Rates'!$A$2:$B$30,2,FALSE),""))</f>
        <v/>
      </c>
      <c r="I225" s="35">
        <f>IF(OR($A225="",$H225=""),"",$A225+$H225*7)</f>
        <v/>
      </c>
    </row>
    <row r="226">
      <c r="A226" s="33" t="n"/>
      <c r="E226" s="34">
        <f>IF($D226="","",IFERROR(VLOOKUP($D226,'Services &amp; Rates'!$A$2:$B$30,2,FALSE),""))</f>
        <v/>
      </c>
      <c r="I226" s="35">
        <f>IF(OR($A226="",$H226=""),"",$A226+$H226*7)</f>
        <v/>
      </c>
    </row>
    <row r="227">
      <c r="A227" s="33" t="n"/>
      <c r="E227" s="34">
        <f>IF($D227="","",IFERROR(VLOOKUP($D227,'Services &amp; Rates'!$A$2:$B$30,2,FALSE),""))</f>
        <v/>
      </c>
      <c r="I227" s="35">
        <f>IF(OR($A227="",$H227=""),"",$A227+$H227*7)</f>
        <v/>
      </c>
    </row>
    <row r="228">
      <c r="A228" s="33" t="n"/>
      <c r="E228" s="34">
        <f>IF($D228="","",IFERROR(VLOOKUP($D228,'Services &amp; Rates'!$A$2:$B$30,2,FALSE),""))</f>
        <v/>
      </c>
      <c r="I228" s="35">
        <f>IF(OR($A228="",$H228=""),"",$A228+$H228*7)</f>
        <v/>
      </c>
    </row>
    <row r="229">
      <c r="A229" s="33" t="n"/>
      <c r="E229" s="34">
        <f>IF($D229="","",IFERROR(VLOOKUP($D229,'Services &amp; Rates'!$A$2:$B$30,2,FALSE),""))</f>
        <v/>
      </c>
      <c r="I229" s="35">
        <f>IF(OR($A229="",$H229=""),"",$A229+$H229*7)</f>
        <v/>
      </c>
    </row>
    <row r="230">
      <c r="A230" s="33" t="n"/>
      <c r="E230" s="34">
        <f>IF($D230="","",IFERROR(VLOOKUP($D230,'Services &amp; Rates'!$A$2:$B$30,2,FALSE),""))</f>
        <v/>
      </c>
      <c r="I230" s="35">
        <f>IF(OR($A230="",$H230=""),"",$A230+$H230*7)</f>
        <v/>
      </c>
    </row>
    <row r="231">
      <c r="A231" s="33" t="n"/>
      <c r="E231" s="34">
        <f>IF($D231="","",IFERROR(VLOOKUP($D231,'Services &amp; Rates'!$A$2:$B$30,2,FALSE),""))</f>
        <v/>
      </c>
      <c r="I231" s="35">
        <f>IF(OR($A231="",$H231=""),"",$A231+$H231*7)</f>
        <v/>
      </c>
    </row>
    <row r="232">
      <c r="A232" s="33" t="n"/>
      <c r="E232" s="34">
        <f>IF($D232="","",IFERROR(VLOOKUP($D232,'Services &amp; Rates'!$A$2:$B$30,2,FALSE),""))</f>
        <v/>
      </c>
      <c r="I232" s="35">
        <f>IF(OR($A232="",$H232=""),"",$A232+$H232*7)</f>
        <v/>
      </c>
    </row>
    <row r="233">
      <c r="A233" s="33" t="n"/>
      <c r="E233" s="34">
        <f>IF($D233="","",IFERROR(VLOOKUP($D233,'Services &amp; Rates'!$A$2:$B$30,2,FALSE),""))</f>
        <v/>
      </c>
      <c r="I233" s="35">
        <f>IF(OR($A233="",$H233=""),"",$A233+$H233*7)</f>
        <v/>
      </c>
    </row>
    <row r="234">
      <c r="A234" s="33" t="n"/>
      <c r="E234" s="34">
        <f>IF($D234="","",IFERROR(VLOOKUP($D234,'Services &amp; Rates'!$A$2:$B$30,2,FALSE),""))</f>
        <v/>
      </c>
      <c r="I234" s="35">
        <f>IF(OR($A234="",$H234=""),"",$A234+$H234*7)</f>
        <v/>
      </c>
    </row>
    <row r="235">
      <c r="A235" s="33" t="n"/>
      <c r="E235" s="34">
        <f>IF($D235="","",IFERROR(VLOOKUP($D235,'Services &amp; Rates'!$A$2:$B$30,2,FALSE),""))</f>
        <v/>
      </c>
      <c r="I235" s="35">
        <f>IF(OR($A235="",$H235=""),"",$A235+$H235*7)</f>
        <v/>
      </c>
    </row>
    <row r="236">
      <c r="A236" s="33" t="n"/>
      <c r="E236" s="34">
        <f>IF($D236="","",IFERROR(VLOOKUP($D236,'Services &amp; Rates'!$A$2:$B$30,2,FALSE),""))</f>
        <v/>
      </c>
      <c r="I236" s="35">
        <f>IF(OR($A236="",$H236=""),"",$A236+$H236*7)</f>
        <v/>
      </c>
    </row>
    <row r="237">
      <c r="A237" s="33" t="n"/>
      <c r="E237" s="34">
        <f>IF($D237="","",IFERROR(VLOOKUP($D237,'Services &amp; Rates'!$A$2:$B$30,2,FALSE),""))</f>
        <v/>
      </c>
      <c r="I237" s="35">
        <f>IF(OR($A237="",$H237=""),"",$A237+$H237*7)</f>
        <v/>
      </c>
    </row>
    <row r="238">
      <c r="A238" s="33" t="n"/>
      <c r="E238" s="34">
        <f>IF($D238="","",IFERROR(VLOOKUP($D238,'Services &amp; Rates'!$A$2:$B$30,2,FALSE),""))</f>
        <v/>
      </c>
      <c r="I238" s="35">
        <f>IF(OR($A238="",$H238=""),"",$A238+$H238*7)</f>
        <v/>
      </c>
    </row>
    <row r="239">
      <c r="A239" s="33" t="n"/>
      <c r="E239" s="34">
        <f>IF($D239="","",IFERROR(VLOOKUP($D239,'Services &amp; Rates'!$A$2:$B$30,2,FALSE),""))</f>
        <v/>
      </c>
      <c r="I239" s="35">
        <f>IF(OR($A239="",$H239=""),"",$A239+$H239*7)</f>
        <v/>
      </c>
    </row>
    <row r="240">
      <c r="A240" s="33" t="n"/>
      <c r="E240" s="34">
        <f>IF($D240="","",IFERROR(VLOOKUP($D240,'Services &amp; Rates'!$A$2:$B$30,2,FALSE),""))</f>
        <v/>
      </c>
      <c r="I240" s="35">
        <f>IF(OR($A240="",$H240=""),"",$A240+$H240*7)</f>
        <v/>
      </c>
    </row>
    <row r="241">
      <c r="A241" s="33" t="n"/>
      <c r="E241" s="34">
        <f>IF($D241="","",IFERROR(VLOOKUP($D241,'Services &amp; Rates'!$A$2:$B$30,2,FALSE),""))</f>
        <v/>
      </c>
      <c r="I241" s="35">
        <f>IF(OR($A241="",$H241=""),"",$A241+$H241*7)</f>
        <v/>
      </c>
    </row>
    <row r="242">
      <c r="A242" s="33" t="n"/>
      <c r="E242" s="34">
        <f>IF($D242="","",IFERROR(VLOOKUP($D242,'Services &amp; Rates'!$A$2:$B$30,2,FALSE),""))</f>
        <v/>
      </c>
      <c r="I242" s="35">
        <f>IF(OR($A242="",$H242=""),"",$A242+$H242*7)</f>
        <v/>
      </c>
    </row>
    <row r="243">
      <c r="A243" s="33" t="n"/>
      <c r="E243" s="34">
        <f>IF($D243="","",IFERROR(VLOOKUP($D243,'Services &amp; Rates'!$A$2:$B$30,2,FALSE),""))</f>
        <v/>
      </c>
      <c r="I243" s="35">
        <f>IF(OR($A243="",$H243=""),"",$A243+$H243*7)</f>
        <v/>
      </c>
    </row>
    <row r="244">
      <c r="A244" s="33" t="n"/>
      <c r="E244" s="34">
        <f>IF($D244="","",IFERROR(VLOOKUP($D244,'Services &amp; Rates'!$A$2:$B$30,2,FALSE),""))</f>
        <v/>
      </c>
      <c r="I244" s="35">
        <f>IF(OR($A244="",$H244=""),"",$A244+$H244*7)</f>
        <v/>
      </c>
    </row>
    <row r="245">
      <c r="A245" s="33" t="n"/>
      <c r="E245" s="34">
        <f>IF($D245="","",IFERROR(VLOOKUP($D245,'Services &amp; Rates'!$A$2:$B$30,2,FALSE),""))</f>
        <v/>
      </c>
      <c r="I245" s="35">
        <f>IF(OR($A245="",$H245=""),"",$A245+$H245*7)</f>
        <v/>
      </c>
    </row>
    <row r="246">
      <c r="A246" s="33" t="n"/>
      <c r="E246" s="34">
        <f>IF($D246="","",IFERROR(VLOOKUP($D246,'Services &amp; Rates'!$A$2:$B$30,2,FALSE),""))</f>
        <v/>
      </c>
      <c r="I246" s="35">
        <f>IF(OR($A246="",$H246=""),"",$A246+$H246*7)</f>
        <v/>
      </c>
    </row>
    <row r="247">
      <c r="A247" s="33" t="n"/>
      <c r="E247" s="34">
        <f>IF($D247="","",IFERROR(VLOOKUP($D247,'Services &amp; Rates'!$A$2:$B$30,2,FALSE),""))</f>
        <v/>
      </c>
      <c r="I247" s="35">
        <f>IF(OR($A247="",$H247=""),"",$A247+$H247*7)</f>
        <v/>
      </c>
    </row>
    <row r="248">
      <c r="A248" s="33" t="n"/>
      <c r="E248" s="34">
        <f>IF($D248="","",IFERROR(VLOOKUP($D248,'Services &amp; Rates'!$A$2:$B$30,2,FALSE),""))</f>
        <v/>
      </c>
      <c r="I248" s="35">
        <f>IF(OR($A248="",$H248=""),"",$A248+$H248*7)</f>
        <v/>
      </c>
    </row>
    <row r="249">
      <c r="A249" s="33" t="n"/>
      <c r="E249" s="34">
        <f>IF($D249="","",IFERROR(VLOOKUP($D249,'Services &amp; Rates'!$A$2:$B$30,2,FALSE),""))</f>
        <v/>
      </c>
      <c r="I249" s="35">
        <f>IF(OR($A249="",$H249=""),"",$A249+$H249*7)</f>
        <v/>
      </c>
    </row>
    <row r="250">
      <c r="A250" s="33" t="n"/>
      <c r="E250" s="34">
        <f>IF($D250="","",IFERROR(VLOOKUP($D250,'Services &amp; Rates'!$A$2:$B$30,2,FALSE),""))</f>
        <v/>
      </c>
      <c r="I250" s="35">
        <f>IF(OR($A250="",$H250=""),"",$A250+$H250*7)</f>
        <v/>
      </c>
    </row>
  </sheetData>
  <conditionalFormatting sqref="A2:J250">
    <cfRule type="expression" priority="1" dxfId="2" stopIfTrue="1">
      <formula>AND($F2="Done",$G2&lt;&gt;"Yes")</formula>
    </cfRule>
    <cfRule type="expression" priority="2" dxfId="3" stopIfTrue="1">
      <formula>$A2=TODAY()</formula>
    </cfRule>
  </conditionalFormatting>
  <conditionalFormatting sqref="I2:I250">
    <cfRule type="expression" priority="3" dxfId="1">
      <formula>AND(ISNUMBER($I2),$I2&lt;=TODAY())</formula>
    </cfRule>
  </conditionalFormatting>
  <dataValidations count="4">
    <dataValidation sqref="B2:B250" showDropDown="0" showInputMessage="0" showErrorMessage="0" allowBlank="1" type="list">
      <formula1>ClientList</formula1>
    </dataValidation>
    <dataValidation sqref="D2:D250" showDropDown="0" showInputMessage="0" showErrorMessage="0" allowBlank="1" type="list">
      <formula1>ServiceList</formula1>
    </dataValidation>
    <dataValidation sqref="F2:F250" showDropDown="0" showInputMessage="0" showErrorMessage="0" allowBlank="1" type="list">
      <formula1>"Booked,Done,Cancelled"</formula1>
    </dataValidation>
    <dataValidation sqref="G2:G25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C49AA6"/>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3" customWidth="1" min="3" max="3"/>
    <col width="13" customWidth="1" min="4" max="4"/>
    <col width="15" customWidth="1" min="5" max="5"/>
    <col width="15" customWidth="1" min="6" max="6"/>
    <col width="12" customWidth="1" min="7" max="7"/>
    <col width="12" customWidth="1" min="8" max="8"/>
    <col width="11" customWidth="1" min="9" max="9"/>
    <col width="30" customWidth="1" min="10" max="10"/>
  </cols>
  <sheetData>
    <row r="1" ht="26" customHeight="1">
      <c r="A1" s="28" t="inlineStr">
        <is>
          <t>Invoice #</t>
        </is>
      </c>
      <c r="B1" s="28" t="inlineStr">
        <is>
          <t>Client</t>
        </is>
      </c>
      <c r="C1" s="28" t="inlineStr">
        <is>
          <t>Period Start</t>
        </is>
      </c>
      <c r="D1" s="28" t="inlineStr">
        <is>
          <t>Period End</t>
        </is>
      </c>
      <c r="E1" s="28" t="inlineStr">
        <is>
          <t>Invoice Total ($)</t>
        </is>
      </c>
      <c r="F1" s="28" t="inlineStr">
        <is>
          <t>Balance Due ($)</t>
        </is>
      </c>
      <c r="G1" s="28" t="inlineStr">
        <is>
          <t>Date Sent</t>
        </is>
      </c>
      <c r="H1" s="28" t="inlineStr">
        <is>
          <t>Date Paid</t>
        </is>
      </c>
      <c r="I1" s="28" t="inlineStr">
        <is>
          <t>Status</t>
        </is>
      </c>
      <c r="J1" s="28" t="inlineStr">
        <is>
          <t>Notes</t>
        </is>
      </c>
    </row>
    <row r="2">
      <c r="A2" s="29" t="inlineStr">
        <is>
          <t>INV-1001</t>
        </is>
      </c>
      <c r="B2" s="29" t="inlineStr">
        <is>
          <t>Amanda Foster</t>
        </is>
      </c>
      <c r="C2" s="30">
        <f>TODAY()-40</f>
        <v/>
      </c>
      <c r="D2" s="30">
        <f>TODAY()-30</f>
        <v/>
      </c>
      <c r="E2" s="31">
        <f>IF(OR($B2="",$C2="",$D2=""),"",SUMIFS('Appointments'!$E:$E,'Appointments'!$B:$B,$B2,'Appointments'!$F:$F,"Done",'Appointments'!$A:$A,"&gt;="&amp;$C2,'Appointments'!$A:$A,"&lt;="&amp;$D2))</f>
        <v/>
      </c>
      <c r="F2" s="31">
        <f>IF(OR($B2="",$C2="",$D2=""),"",SUMIFS('Appointments'!$E:$E,'Appointments'!$B:$B,$B2,'Appointments'!$F:$F,"Done",'Appointments'!$A:$A,"&gt;="&amp;$C2,'Appointments'!$A:$A,"&lt;="&amp;$D2,'Appointments'!$G:$G,"&lt;&gt;Yes"))</f>
        <v/>
      </c>
      <c r="G2" s="30">
        <f>TODAY()-28</f>
        <v/>
      </c>
      <c r="H2" s="30">
        <f>TODAY()-25</f>
        <v/>
      </c>
      <c r="I2" s="29" t="inlineStr">
        <is>
          <t>Paid</t>
        </is>
      </c>
      <c r="J2" s="29" t="inlineStr">
        <is>
          <t>SAMPLE ROW — delete me</t>
        </is>
      </c>
    </row>
    <row r="3">
      <c r="A3" s="29" t="inlineStr">
        <is>
          <t>INV-1002</t>
        </is>
      </c>
      <c r="B3" s="29" t="inlineStr">
        <is>
          <t>Derek Okafor</t>
        </is>
      </c>
      <c r="C3" s="30">
        <f>TODAY()-8</f>
        <v/>
      </c>
      <c r="D3" s="30">
        <f>TODAY()+0</f>
        <v/>
      </c>
      <c r="E3" s="31">
        <f>IF(OR($B3="",$C3="",$D3=""),"",SUMIFS('Appointments'!$E:$E,'Appointments'!$B:$B,$B3,'Appointments'!$F:$F,"Done",'Appointments'!$A:$A,"&gt;="&amp;$C3,'Appointments'!$A:$A,"&lt;="&amp;$D3))</f>
        <v/>
      </c>
      <c r="F3" s="31">
        <f>IF(OR($B3="",$C3="",$D3=""),"",SUMIFS('Appointments'!$E:$E,'Appointments'!$B:$B,$B3,'Appointments'!$F:$F,"Done",'Appointments'!$A:$A,"&gt;="&amp;$C3,'Appointments'!$A:$A,"&lt;="&amp;$D3,'Appointments'!$G:$G,"&lt;&gt;Yes"))</f>
        <v/>
      </c>
      <c r="G3" s="30">
        <f>TODAY()+0</f>
        <v/>
      </c>
      <c r="H3" s="30" t="n"/>
      <c r="I3" s="29" t="inlineStr">
        <is>
          <t>Sent</t>
        </is>
      </c>
      <c r="J3" s="29" t="inlineStr">
        <is>
          <t>SAMPLE ROW — delete me</t>
        </is>
      </c>
    </row>
    <row r="4">
      <c r="A4" s="29" t="inlineStr">
        <is>
          <t>INV-1003</t>
        </is>
      </c>
      <c r="B4" s="29" t="inlineStr">
        <is>
          <t>Priya Raman</t>
        </is>
      </c>
      <c r="C4" s="30">
        <f>TODAY()-20</f>
        <v/>
      </c>
      <c r="D4" s="30">
        <f>TODAY()-2</f>
        <v/>
      </c>
      <c r="E4" s="31">
        <f>IF(OR($B4="",$C4="",$D4=""),"",SUMIFS('Appointments'!$E:$E,'Appointments'!$B:$B,$B4,'Appointments'!$F:$F,"Done",'Appointments'!$A:$A,"&gt;="&amp;$C4,'Appointments'!$A:$A,"&lt;="&amp;$D4))</f>
        <v/>
      </c>
      <c r="F4" s="31">
        <f>IF(OR($B4="",$C4="",$D4=""),"",SUMIFS('Appointments'!$E:$E,'Appointments'!$B:$B,$B4,'Appointments'!$F:$F,"Done",'Appointments'!$A:$A,"&gt;="&amp;$C4,'Appointments'!$A:$A,"&lt;="&amp;$D4,'Appointments'!$G:$G,"&lt;&gt;Yes"))</f>
        <v/>
      </c>
      <c r="G4" s="30">
        <f>TODAY()-18</f>
        <v/>
      </c>
      <c r="H4" s="30" t="n"/>
      <c r="I4" s="29" t="inlineStr">
        <is>
          <t>Overdue</t>
        </is>
      </c>
      <c r="J4" s="29" t="inlineStr">
        <is>
          <t>SAMPLE ROW — delete me</t>
        </is>
      </c>
    </row>
    <row r="5">
      <c r="C5" s="33" t="n"/>
      <c r="D5" s="33" t="n"/>
      <c r="E5" s="34">
        <f>IF(OR($B5="",$C5="",$D5=""),"",SUMIFS('Appointments'!$E:$E,'Appointments'!$B:$B,$B5,'Appointments'!$F:$F,"Done",'Appointments'!$A:$A,"&gt;="&amp;$C5,'Appointments'!$A:$A,"&lt;="&amp;$D5))</f>
        <v/>
      </c>
      <c r="F5" s="34">
        <f>IF(OR($B5="",$C5="",$D5=""),"",SUMIFS('Appointments'!$E:$E,'Appointments'!$B:$B,$B5,'Appointments'!$F:$F,"Done",'Appointments'!$A:$A,"&gt;="&amp;$C5,'Appointments'!$A:$A,"&lt;="&amp;$D5,'Appointments'!$G:$G,"&lt;&gt;Yes"))</f>
        <v/>
      </c>
      <c r="G5" s="33" t="n"/>
      <c r="H5" s="33" t="n"/>
    </row>
    <row r="6">
      <c r="C6" s="33" t="n"/>
      <c r="D6" s="33" t="n"/>
      <c r="E6" s="34">
        <f>IF(OR($B6="",$C6="",$D6=""),"",SUMIFS('Appointments'!$E:$E,'Appointments'!$B:$B,$B6,'Appointments'!$F:$F,"Done",'Appointments'!$A:$A,"&gt;="&amp;$C6,'Appointments'!$A:$A,"&lt;="&amp;$D6))</f>
        <v/>
      </c>
      <c r="F6" s="34">
        <f>IF(OR($B6="",$C6="",$D6=""),"",SUMIFS('Appointments'!$E:$E,'Appointments'!$B:$B,$B6,'Appointments'!$F:$F,"Done",'Appointments'!$A:$A,"&gt;="&amp;$C6,'Appointments'!$A:$A,"&lt;="&amp;$D6,'Appointments'!$G:$G,"&lt;&gt;Yes"))</f>
        <v/>
      </c>
      <c r="G6" s="33" t="n"/>
      <c r="H6" s="33" t="n"/>
    </row>
    <row r="7">
      <c r="C7" s="33" t="n"/>
      <c r="D7" s="33" t="n"/>
      <c r="E7" s="34">
        <f>IF(OR($B7="",$C7="",$D7=""),"",SUMIFS('Appointments'!$E:$E,'Appointments'!$B:$B,$B7,'Appointments'!$F:$F,"Done",'Appointments'!$A:$A,"&gt;="&amp;$C7,'Appointments'!$A:$A,"&lt;="&amp;$D7))</f>
        <v/>
      </c>
      <c r="F7" s="34">
        <f>IF(OR($B7="",$C7="",$D7=""),"",SUMIFS('Appointments'!$E:$E,'Appointments'!$B:$B,$B7,'Appointments'!$F:$F,"Done",'Appointments'!$A:$A,"&gt;="&amp;$C7,'Appointments'!$A:$A,"&lt;="&amp;$D7,'Appointments'!$G:$G,"&lt;&gt;Yes"))</f>
        <v/>
      </c>
      <c r="G7" s="33" t="n"/>
      <c r="H7" s="33" t="n"/>
    </row>
    <row r="8">
      <c r="C8" s="33" t="n"/>
      <c r="D8" s="33" t="n"/>
      <c r="E8" s="34">
        <f>IF(OR($B8="",$C8="",$D8=""),"",SUMIFS('Appointments'!$E:$E,'Appointments'!$B:$B,$B8,'Appointments'!$F:$F,"Done",'Appointments'!$A:$A,"&gt;="&amp;$C8,'Appointments'!$A:$A,"&lt;="&amp;$D8))</f>
        <v/>
      </c>
      <c r="F8" s="34">
        <f>IF(OR($B8="",$C8="",$D8=""),"",SUMIFS('Appointments'!$E:$E,'Appointments'!$B:$B,$B8,'Appointments'!$F:$F,"Done",'Appointments'!$A:$A,"&gt;="&amp;$C8,'Appointments'!$A:$A,"&lt;="&amp;$D8,'Appointments'!$G:$G,"&lt;&gt;Yes"))</f>
        <v/>
      </c>
      <c r="G8" s="33" t="n"/>
      <c r="H8" s="33" t="n"/>
    </row>
    <row r="9">
      <c r="C9" s="33" t="n"/>
      <c r="D9" s="33" t="n"/>
      <c r="E9" s="34">
        <f>IF(OR($B9="",$C9="",$D9=""),"",SUMIFS('Appointments'!$E:$E,'Appointments'!$B:$B,$B9,'Appointments'!$F:$F,"Done",'Appointments'!$A:$A,"&gt;="&amp;$C9,'Appointments'!$A:$A,"&lt;="&amp;$D9))</f>
        <v/>
      </c>
      <c r="F9" s="34">
        <f>IF(OR($B9="",$C9="",$D9=""),"",SUMIFS('Appointments'!$E:$E,'Appointments'!$B:$B,$B9,'Appointments'!$F:$F,"Done",'Appointments'!$A:$A,"&gt;="&amp;$C9,'Appointments'!$A:$A,"&lt;="&amp;$D9,'Appointments'!$G:$G,"&lt;&gt;Yes"))</f>
        <v/>
      </c>
      <c r="G9" s="33" t="n"/>
      <c r="H9" s="33" t="n"/>
    </row>
    <row r="10">
      <c r="C10" s="33" t="n"/>
      <c r="D10" s="33" t="n"/>
      <c r="E10" s="34">
        <f>IF(OR($B10="",$C10="",$D10=""),"",SUMIFS('Appointments'!$E:$E,'Appointments'!$B:$B,$B10,'Appointments'!$F:$F,"Done",'Appointments'!$A:$A,"&gt;="&amp;$C10,'Appointments'!$A:$A,"&lt;="&amp;$D10))</f>
        <v/>
      </c>
      <c r="F10" s="34">
        <f>IF(OR($B10="",$C10="",$D10=""),"",SUMIFS('Appointments'!$E:$E,'Appointments'!$B:$B,$B10,'Appointments'!$F:$F,"Done",'Appointments'!$A:$A,"&gt;="&amp;$C10,'Appointments'!$A:$A,"&lt;="&amp;$D10,'Appointments'!$G:$G,"&lt;&gt;Yes"))</f>
        <v/>
      </c>
      <c r="G10" s="33" t="n"/>
      <c r="H10" s="33" t="n"/>
    </row>
    <row r="11">
      <c r="C11" s="33" t="n"/>
      <c r="D11" s="33" t="n"/>
      <c r="E11" s="34">
        <f>IF(OR($B11="",$C11="",$D11=""),"",SUMIFS('Appointments'!$E:$E,'Appointments'!$B:$B,$B11,'Appointments'!$F:$F,"Done",'Appointments'!$A:$A,"&gt;="&amp;$C11,'Appointments'!$A:$A,"&lt;="&amp;$D11))</f>
        <v/>
      </c>
      <c r="F11" s="34">
        <f>IF(OR($B11="",$C11="",$D11=""),"",SUMIFS('Appointments'!$E:$E,'Appointments'!$B:$B,$B11,'Appointments'!$F:$F,"Done",'Appointments'!$A:$A,"&gt;="&amp;$C11,'Appointments'!$A:$A,"&lt;="&amp;$D11,'Appointments'!$G:$G,"&lt;&gt;Yes"))</f>
        <v/>
      </c>
      <c r="G11" s="33" t="n"/>
      <c r="H11" s="33" t="n"/>
    </row>
    <row r="12">
      <c r="C12" s="33" t="n"/>
      <c r="D12" s="33" t="n"/>
      <c r="E12" s="34">
        <f>IF(OR($B12="",$C12="",$D12=""),"",SUMIFS('Appointments'!$E:$E,'Appointments'!$B:$B,$B12,'Appointments'!$F:$F,"Done",'Appointments'!$A:$A,"&gt;="&amp;$C12,'Appointments'!$A:$A,"&lt;="&amp;$D12))</f>
        <v/>
      </c>
      <c r="F12" s="34">
        <f>IF(OR($B12="",$C12="",$D12=""),"",SUMIFS('Appointments'!$E:$E,'Appointments'!$B:$B,$B12,'Appointments'!$F:$F,"Done",'Appointments'!$A:$A,"&gt;="&amp;$C12,'Appointments'!$A:$A,"&lt;="&amp;$D12,'Appointments'!$G:$G,"&lt;&gt;Yes"))</f>
        <v/>
      </c>
      <c r="G12" s="33" t="n"/>
      <c r="H12" s="33" t="n"/>
    </row>
    <row r="13">
      <c r="C13" s="33" t="n"/>
      <c r="D13" s="33" t="n"/>
      <c r="E13" s="34">
        <f>IF(OR($B13="",$C13="",$D13=""),"",SUMIFS('Appointments'!$E:$E,'Appointments'!$B:$B,$B13,'Appointments'!$F:$F,"Done",'Appointments'!$A:$A,"&gt;="&amp;$C13,'Appointments'!$A:$A,"&lt;="&amp;$D13))</f>
        <v/>
      </c>
      <c r="F13" s="34">
        <f>IF(OR($B13="",$C13="",$D13=""),"",SUMIFS('Appointments'!$E:$E,'Appointments'!$B:$B,$B13,'Appointments'!$F:$F,"Done",'Appointments'!$A:$A,"&gt;="&amp;$C13,'Appointments'!$A:$A,"&lt;="&amp;$D13,'Appointments'!$G:$G,"&lt;&gt;Yes"))</f>
        <v/>
      </c>
      <c r="G13" s="33" t="n"/>
      <c r="H13" s="33" t="n"/>
    </row>
    <row r="14">
      <c r="C14" s="33" t="n"/>
      <c r="D14" s="33" t="n"/>
      <c r="E14" s="34">
        <f>IF(OR($B14="",$C14="",$D14=""),"",SUMIFS('Appointments'!$E:$E,'Appointments'!$B:$B,$B14,'Appointments'!$F:$F,"Done",'Appointments'!$A:$A,"&gt;="&amp;$C14,'Appointments'!$A:$A,"&lt;="&amp;$D14))</f>
        <v/>
      </c>
      <c r="F14" s="34">
        <f>IF(OR($B14="",$C14="",$D14=""),"",SUMIFS('Appointments'!$E:$E,'Appointments'!$B:$B,$B14,'Appointments'!$F:$F,"Done",'Appointments'!$A:$A,"&gt;="&amp;$C14,'Appointments'!$A:$A,"&lt;="&amp;$D14,'Appointments'!$G:$G,"&lt;&gt;Yes"))</f>
        <v/>
      </c>
      <c r="G14" s="33" t="n"/>
      <c r="H14" s="33" t="n"/>
    </row>
    <row r="15">
      <c r="C15" s="33" t="n"/>
      <c r="D15" s="33" t="n"/>
      <c r="E15" s="34">
        <f>IF(OR($B15="",$C15="",$D15=""),"",SUMIFS('Appointments'!$E:$E,'Appointments'!$B:$B,$B15,'Appointments'!$F:$F,"Done",'Appointments'!$A:$A,"&gt;="&amp;$C15,'Appointments'!$A:$A,"&lt;="&amp;$D15))</f>
        <v/>
      </c>
      <c r="F15" s="34">
        <f>IF(OR($B15="",$C15="",$D15=""),"",SUMIFS('Appointments'!$E:$E,'Appointments'!$B:$B,$B15,'Appointments'!$F:$F,"Done",'Appointments'!$A:$A,"&gt;="&amp;$C15,'Appointments'!$A:$A,"&lt;="&amp;$D15,'Appointments'!$G:$G,"&lt;&gt;Yes"))</f>
        <v/>
      </c>
      <c r="G15" s="33" t="n"/>
      <c r="H15" s="33" t="n"/>
    </row>
    <row r="16">
      <c r="C16" s="33" t="n"/>
      <c r="D16" s="33" t="n"/>
      <c r="E16" s="34">
        <f>IF(OR($B16="",$C16="",$D16=""),"",SUMIFS('Appointments'!$E:$E,'Appointments'!$B:$B,$B16,'Appointments'!$F:$F,"Done",'Appointments'!$A:$A,"&gt;="&amp;$C16,'Appointments'!$A:$A,"&lt;="&amp;$D16))</f>
        <v/>
      </c>
      <c r="F16" s="34">
        <f>IF(OR($B16="",$C16="",$D16=""),"",SUMIFS('Appointments'!$E:$E,'Appointments'!$B:$B,$B16,'Appointments'!$F:$F,"Done",'Appointments'!$A:$A,"&gt;="&amp;$C16,'Appointments'!$A:$A,"&lt;="&amp;$D16,'Appointments'!$G:$G,"&lt;&gt;Yes"))</f>
        <v/>
      </c>
      <c r="G16" s="33" t="n"/>
      <c r="H16" s="33" t="n"/>
    </row>
    <row r="17">
      <c r="C17" s="33" t="n"/>
      <c r="D17" s="33" t="n"/>
      <c r="E17" s="34">
        <f>IF(OR($B17="",$C17="",$D17=""),"",SUMIFS('Appointments'!$E:$E,'Appointments'!$B:$B,$B17,'Appointments'!$F:$F,"Done",'Appointments'!$A:$A,"&gt;="&amp;$C17,'Appointments'!$A:$A,"&lt;="&amp;$D17))</f>
        <v/>
      </c>
      <c r="F17" s="34">
        <f>IF(OR($B17="",$C17="",$D17=""),"",SUMIFS('Appointments'!$E:$E,'Appointments'!$B:$B,$B17,'Appointments'!$F:$F,"Done",'Appointments'!$A:$A,"&gt;="&amp;$C17,'Appointments'!$A:$A,"&lt;="&amp;$D17,'Appointments'!$G:$G,"&lt;&gt;Yes"))</f>
        <v/>
      </c>
      <c r="G17" s="33" t="n"/>
      <c r="H17" s="33" t="n"/>
    </row>
    <row r="18">
      <c r="C18" s="33" t="n"/>
      <c r="D18" s="33" t="n"/>
      <c r="E18" s="34">
        <f>IF(OR($B18="",$C18="",$D18=""),"",SUMIFS('Appointments'!$E:$E,'Appointments'!$B:$B,$B18,'Appointments'!$F:$F,"Done",'Appointments'!$A:$A,"&gt;="&amp;$C18,'Appointments'!$A:$A,"&lt;="&amp;$D18))</f>
        <v/>
      </c>
      <c r="F18" s="34">
        <f>IF(OR($B18="",$C18="",$D18=""),"",SUMIFS('Appointments'!$E:$E,'Appointments'!$B:$B,$B18,'Appointments'!$F:$F,"Done",'Appointments'!$A:$A,"&gt;="&amp;$C18,'Appointments'!$A:$A,"&lt;="&amp;$D18,'Appointments'!$G:$G,"&lt;&gt;Yes"))</f>
        <v/>
      </c>
      <c r="G18" s="33" t="n"/>
      <c r="H18" s="33" t="n"/>
    </row>
    <row r="19">
      <c r="C19" s="33" t="n"/>
      <c r="D19" s="33" t="n"/>
      <c r="E19" s="34">
        <f>IF(OR($B19="",$C19="",$D19=""),"",SUMIFS('Appointments'!$E:$E,'Appointments'!$B:$B,$B19,'Appointments'!$F:$F,"Done",'Appointments'!$A:$A,"&gt;="&amp;$C19,'Appointments'!$A:$A,"&lt;="&amp;$D19))</f>
        <v/>
      </c>
      <c r="F19" s="34">
        <f>IF(OR($B19="",$C19="",$D19=""),"",SUMIFS('Appointments'!$E:$E,'Appointments'!$B:$B,$B19,'Appointments'!$F:$F,"Done",'Appointments'!$A:$A,"&gt;="&amp;$C19,'Appointments'!$A:$A,"&lt;="&amp;$D19,'Appointments'!$G:$G,"&lt;&gt;Yes"))</f>
        <v/>
      </c>
      <c r="G19" s="33" t="n"/>
      <c r="H19" s="33" t="n"/>
    </row>
    <row r="20">
      <c r="C20" s="33" t="n"/>
      <c r="D20" s="33" t="n"/>
      <c r="E20" s="34">
        <f>IF(OR($B20="",$C20="",$D20=""),"",SUMIFS('Appointments'!$E:$E,'Appointments'!$B:$B,$B20,'Appointments'!$F:$F,"Done",'Appointments'!$A:$A,"&gt;="&amp;$C20,'Appointments'!$A:$A,"&lt;="&amp;$D20))</f>
        <v/>
      </c>
      <c r="F20" s="34">
        <f>IF(OR($B20="",$C20="",$D20=""),"",SUMIFS('Appointments'!$E:$E,'Appointments'!$B:$B,$B20,'Appointments'!$F:$F,"Done",'Appointments'!$A:$A,"&gt;="&amp;$C20,'Appointments'!$A:$A,"&lt;="&amp;$D20,'Appointments'!$G:$G,"&lt;&gt;Yes"))</f>
        <v/>
      </c>
      <c r="G20" s="33" t="n"/>
      <c r="H20" s="33" t="n"/>
    </row>
    <row r="21">
      <c r="C21" s="33" t="n"/>
      <c r="D21" s="33" t="n"/>
      <c r="E21" s="34">
        <f>IF(OR($B21="",$C21="",$D21=""),"",SUMIFS('Appointments'!$E:$E,'Appointments'!$B:$B,$B21,'Appointments'!$F:$F,"Done",'Appointments'!$A:$A,"&gt;="&amp;$C21,'Appointments'!$A:$A,"&lt;="&amp;$D21))</f>
        <v/>
      </c>
      <c r="F21" s="34">
        <f>IF(OR($B21="",$C21="",$D21=""),"",SUMIFS('Appointments'!$E:$E,'Appointments'!$B:$B,$B21,'Appointments'!$F:$F,"Done",'Appointments'!$A:$A,"&gt;="&amp;$C21,'Appointments'!$A:$A,"&lt;="&amp;$D21,'Appointments'!$G:$G,"&lt;&gt;Yes"))</f>
        <v/>
      </c>
      <c r="G21" s="33" t="n"/>
      <c r="H21" s="33" t="n"/>
    </row>
    <row r="22">
      <c r="C22" s="33" t="n"/>
      <c r="D22" s="33" t="n"/>
      <c r="E22" s="34">
        <f>IF(OR($B22="",$C22="",$D22=""),"",SUMIFS('Appointments'!$E:$E,'Appointments'!$B:$B,$B22,'Appointments'!$F:$F,"Done",'Appointments'!$A:$A,"&gt;="&amp;$C22,'Appointments'!$A:$A,"&lt;="&amp;$D22))</f>
        <v/>
      </c>
      <c r="F22" s="34">
        <f>IF(OR($B22="",$C22="",$D22=""),"",SUMIFS('Appointments'!$E:$E,'Appointments'!$B:$B,$B22,'Appointments'!$F:$F,"Done",'Appointments'!$A:$A,"&gt;="&amp;$C22,'Appointments'!$A:$A,"&lt;="&amp;$D22,'Appointments'!$G:$G,"&lt;&gt;Yes"))</f>
        <v/>
      </c>
      <c r="G22" s="33" t="n"/>
      <c r="H22" s="33" t="n"/>
    </row>
    <row r="23">
      <c r="C23" s="33" t="n"/>
      <c r="D23" s="33" t="n"/>
      <c r="E23" s="34">
        <f>IF(OR($B23="",$C23="",$D23=""),"",SUMIFS('Appointments'!$E:$E,'Appointments'!$B:$B,$B23,'Appointments'!$F:$F,"Done",'Appointments'!$A:$A,"&gt;="&amp;$C23,'Appointments'!$A:$A,"&lt;="&amp;$D23))</f>
        <v/>
      </c>
      <c r="F23" s="34">
        <f>IF(OR($B23="",$C23="",$D23=""),"",SUMIFS('Appointments'!$E:$E,'Appointments'!$B:$B,$B23,'Appointments'!$F:$F,"Done",'Appointments'!$A:$A,"&gt;="&amp;$C23,'Appointments'!$A:$A,"&lt;="&amp;$D23,'Appointments'!$G:$G,"&lt;&gt;Yes"))</f>
        <v/>
      </c>
      <c r="G23" s="33" t="n"/>
      <c r="H23" s="33" t="n"/>
    </row>
    <row r="24">
      <c r="C24" s="33" t="n"/>
      <c r="D24" s="33" t="n"/>
      <c r="E24" s="34">
        <f>IF(OR($B24="",$C24="",$D24=""),"",SUMIFS('Appointments'!$E:$E,'Appointments'!$B:$B,$B24,'Appointments'!$F:$F,"Done",'Appointments'!$A:$A,"&gt;="&amp;$C24,'Appointments'!$A:$A,"&lt;="&amp;$D24))</f>
        <v/>
      </c>
      <c r="F24" s="34">
        <f>IF(OR($B24="",$C24="",$D24=""),"",SUMIFS('Appointments'!$E:$E,'Appointments'!$B:$B,$B24,'Appointments'!$F:$F,"Done",'Appointments'!$A:$A,"&gt;="&amp;$C24,'Appointments'!$A:$A,"&lt;="&amp;$D24,'Appointments'!$G:$G,"&lt;&gt;Yes"))</f>
        <v/>
      </c>
      <c r="G24" s="33" t="n"/>
      <c r="H24" s="33" t="n"/>
    </row>
    <row r="25">
      <c r="C25" s="33" t="n"/>
      <c r="D25" s="33" t="n"/>
      <c r="E25" s="34">
        <f>IF(OR($B25="",$C25="",$D25=""),"",SUMIFS('Appointments'!$E:$E,'Appointments'!$B:$B,$B25,'Appointments'!$F:$F,"Done",'Appointments'!$A:$A,"&gt;="&amp;$C25,'Appointments'!$A:$A,"&lt;="&amp;$D25))</f>
        <v/>
      </c>
      <c r="F25" s="34">
        <f>IF(OR($B25="",$C25="",$D25=""),"",SUMIFS('Appointments'!$E:$E,'Appointments'!$B:$B,$B25,'Appointments'!$F:$F,"Done",'Appointments'!$A:$A,"&gt;="&amp;$C25,'Appointments'!$A:$A,"&lt;="&amp;$D25,'Appointments'!$G:$G,"&lt;&gt;Yes"))</f>
        <v/>
      </c>
      <c r="G25" s="33" t="n"/>
      <c r="H25" s="33" t="n"/>
    </row>
    <row r="26">
      <c r="C26" s="33" t="n"/>
      <c r="D26" s="33" t="n"/>
      <c r="E26" s="34">
        <f>IF(OR($B26="",$C26="",$D26=""),"",SUMIFS('Appointments'!$E:$E,'Appointments'!$B:$B,$B26,'Appointments'!$F:$F,"Done",'Appointments'!$A:$A,"&gt;="&amp;$C26,'Appointments'!$A:$A,"&lt;="&amp;$D26))</f>
        <v/>
      </c>
      <c r="F26" s="34">
        <f>IF(OR($B26="",$C26="",$D26=""),"",SUMIFS('Appointments'!$E:$E,'Appointments'!$B:$B,$B26,'Appointments'!$F:$F,"Done",'Appointments'!$A:$A,"&gt;="&amp;$C26,'Appointments'!$A:$A,"&lt;="&amp;$D26,'Appointments'!$G:$G,"&lt;&gt;Yes"))</f>
        <v/>
      </c>
      <c r="G26" s="33" t="n"/>
      <c r="H26" s="33" t="n"/>
    </row>
    <row r="27">
      <c r="C27" s="33" t="n"/>
      <c r="D27" s="33" t="n"/>
      <c r="E27" s="34">
        <f>IF(OR($B27="",$C27="",$D27=""),"",SUMIFS('Appointments'!$E:$E,'Appointments'!$B:$B,$B27,'Appointments'!$F:$F,"Done",'Appointments'!$A:$A,"&gt;="&amp;$C27,'Appointments'!$A:$A,"&lt;="&amp;$D27))</f>
        <v/>
      </c>
      <c r="F27" s="34">
        <f>IF(OR($B27="",$C27="",$D27=""),"",SUMIFS('Appointments'!$E:$E,'Appointments'!$B:$B,$B27,'Appointments'!$F:$F,"Done",'Appointments'!$A:$A,"&gt;="&amp;$C27,'Appointments'!$A:$A,"&lt;="&amp;$D27,'Appointments'!$G:$G,"&lt;&gt;Yes"))</f>
        <v/>
      </c>
      <c r="G27" s="33" t="n"/>
      <c r="H27" s="33" t="n"/>
    </row>
    <row r="28">
      <c r="C28" s="33" t="n"/>
      <c r="D28" s="33" t="n"/>
      <c r="E28" s="34">
        <f>IF(OR($B28="",$C28="",$D28=""),"",SUMIFS('Appointments'!$E:$E,'Appointments'!$B:$B,$B28,'Appointments'!$F:$F,"Done",'Appointments'!$A:$A,"&gt;="&amp;$C28,'Appointments'!$A:$A,"&lt;="&amp;$D28))</f>
        <v/>
      </c>
      <c r="F28" s="34">
        <f>IF(OR($B28="",$C28="",$D28=""),"",SUMIFS('Appointments'!$E:$E,'Appointments'!$B:$B,$B28,'Appointments'!$F:$F,"Done",'Appointments'!$A:$A,"&gt;="&amp;$C28,'Appointments'!$A:$A,"&lt;="&amp;$D28,'Appointments'!$G:$G,"&lt;&gt;Yes"))</f>
        <v/>
      </c>
      <c r="G28" s="33" t="n"/>
      <c r="H28" s="33" t="n"/>
    </row>
    <row r="29">
      <c r="C29" s="33" t="n"/>
      <c r="D29" s="33" t="n"/>
      <c r="E29" s="34">
        <f>IF(OR($B29="",$C29="",$D29=""),"",SUMIFS('Appointments'!$E:$E,'Appointments'!$B:$B,$B29,'Appointments'!$F:$F,"Done",'Appointments'!$A:$A,"&gt;="&amp;$C29,'Appointments'!$A:$A,"&lt;="&amp;$D29))</f>
        <v/>
      </c>
      <c r="F29" s="34">
        <f>IF(OR($B29="",$C29="",$D29=""),"",SUMIFS('Appointments'!$E:$E,'Appointments'!$B:$B,$B29,'Appointments'!$F:$F,"Done",'Appointments'!$A:$A,"&gt;="&amp;$C29,'Appointments'!$A:$A,"&lt;="&amp;$D29,'Appointments'!$G:$G,"&lt;&gt;Yes"))</f>
        <v/>
      </c>
      <c r="G29" s="33" t="n"/>
      <c r="H29" s="33" t="n"/>
    </row>
    <row r="30">
      <c r="C30" s="33" t="n"/>
      <c r="D30" s="33" t="n"/>
      <c r="E30" s="34">
        <f>IF(OR($B30="",$C30="",$D30=""),"",SUMIFS('Appointments'!$E:$E,'Appointments'!$B:$B,$B30,'Appointments'!$F:$F,"Done",'Appointments'!$A:$A,"&gt;="&amp;$C30,'Appointments'!$A:$A,"&lt;="&amp;$D30))</f>
        <v/>
      </c>
      <c r="F30" s="34">
        <f>IF(OR($B30="",$C30="",$D30=""),"",SUMIFS('Appointments'!$E:$E,'Appointments'!$B:$B,$B30,'Appointments'!$F:$F,"Done",'Appointments'!$A:$A,"&gt;="&amp;$C30,'Appointments'!$A:$A,"&lt;="&amp;$D30,'Appointments'!$G:$G,"&lt;&gt;Yes"))</f>
        <v/>
      </c>
      <c r="G30" s="33" t="n"/>
      <c r="H30" s="33" t="n"/>
    </row>
    <row r="31">
      <c r="C31" s="33" t="n"/>
      <c r="D31" s="33" t="n"/>
      <c r="E31" s="34">
        <f>IF(OR($B31="",$C31="",$D31=""),"",SUMIFS('Appointments'!$E:$E,'Appointments'!$B:$B,$B31,'Appointments'!$F:$F,"Done",'Appointments'!$A:$A,"&gt;="&amp;$C31,'Appointments'!$A:$A,"&lt;="&amp;$D31))</f>
        <v/>
      </c>
      <c r="F31" s="34">
        <f>IF(OR($B31="",$C31="",$D31=""),"",SUMIFS('Appointments'!$E:$E,'Appointments'!$B:$B,$B31,'Appointments'!$F:$F,"Done",'Appointments'!$A:$A,"&gt;="&amp;$C31,'Appointments'!$A:$A,"&lt;="&amp;$D31,'Appointments'!$G:$G,"&lt;&gt;Yes"))</f>
        <v/>
      </c>
      <c r="G31" s="33" t="n"/>
      <c r="H31" s="33" t="n"/>
    </row>
    <row r="32">
      <c r="C32" s="33" t="n"/>
      <c r="D32" s="33" t="n"/>
      <c r="E32" s="34">
        <f>IF(OR($B32="",$C32="",$D32=""),"",SUMIFS('Appointments'!$E:$E,'Appointments'!$B:$B,$B32,'Appointments'!$F:$F,"Done",'Appointments'!$A:$A,"&gt;="&amp;$C32,'Appointments'!$A:$A,"&lt;="&amp;$D32))</f>
        <v/>
      </c>
      <c r="F32" s="34">
        <f>IF(OR($B32="",$C32="",$D32=""),"",SUMIFS('Appointments'!$E:$E,'Appointments'!$B:$B,$B32,'Appointments'!$F:$F,"Done",'Appointments'!$A:$A,"&gt;="&amp;$C32,'Appointments'!$A:$A,"&lt;="&amp;$D32,'Appointments'!$G:$G,"&lt;&gt;Yes"))</f>
        <v/>
      </c>
      <c r="G32" s="33" t="n"/>
      <c r="H32" s="33" t="n"/>
    </row>
    <row r="33">
      <c r="C33" s="33" t="n"/>
      <c r="D33" s="33" t="n"/>
      <c r="E33" s="34">
        <f>IF(OR($B33="",$C33="",$D33=""),"",SUMIFS('Appointments'!$E:$E,'Appointments'!$B:$B,$B33,'Appointments'!$F:$F,"Done",'Appointments'!$A:$A,"&gt;="&amp;$C33,'Appointments'!$A:$A,"&lt;="&amp;$D33))</f>
        <v/>
      </c>
      <c r="F33" s="34">
        <f>IF(OR($B33="",$C33="",$D33=""),"",SUMIFS('Appointments'!$E:$E,'Appointments'!$B:$B,$B33,'Appointments'!$F:$F,"Done",'Appointments'!$A:$A,"&gt;="&amp;$C33,'Appointments'!$A:$A,"&lt;="&amp;$D33,'Appointments'!$G:$G,"&lt;&gt;Yes"))</f>
        <v/>
      </c>
      <c r="G33" s="33" t="n"/>
      <c r="H33" s="33" t="n"/>
    </row>
    <row r="34">
      <c r="C34" s="33" t="n"/>
      <c r="D34" s="33" t="n"/>
      <c r="E34" s="34">
        <f>IF(OR($B34="",$C34="",$D34=""),"",SUMIFS('Appointments'!$E:$E,'Appointments'!$B:$B,$B34,'Appointments'!$F:$F,"Done",'Appointments'!$A:$A,"&gt;="&amp;$C34,'Appointments'!$A:$A,"&lt;="&amp;$D34))</f>
        <v/>
      </c>
      <c r="F34" s="34">
        <f>IF(OR($B34="",$C34="",$D34=""),"",SUMIFS('Appointments'!$E:$E,'Appointments'!$B:$B,$B34,'Appointments'!$F:$F,"Done",'Appointments'!$A:$A,"&gt;="&amp;$C34,'Appointments'!$A:$A,"&lt;="&amp;$D34,'Appointments'!$G:$G,"&lt;&gt;Yes"))</f>
        <v/>
      </c>
      <c r="G34" s="33" t="n"/>
      <c r="H34" s="33" t="n"/>
    </row>
    <row r="35">
      <c r="C35" s="33" t="n"/>
      <c r="D35" s="33" t="n"/>
      <c r="E35" s="34">
        <f>IF(OR($B35="",$C35="",$D35=""),"",SUMIFS('Appointments'!$E:$E,'Appointments'!$B:$B,$B35,'Appointments'!$F:$F,"Done",'Appointments'!$A:$A,"&gt;="&amp;$C35,'Appointments'!$A:$A,"&lt;="&amp;$D35))</f>
        <v/>
      </c>
      <c r="F35" s="34">
        <f>IF(OR($B35="",$C35="",$D35=""),"",SUMIFS('Appointments'!$E:$E,'Appointments'!$B:$B,$B35,'Appointments'!$F:$F,"Done",'Appointments'!$A:$A,"&gt;="&amp;$C35,'Appointments'!$A:$A,"&lt;="&amp;$D35,'Appointments'!$G:$G,"&lt;&gt;Yes"))</f>
        <v/>
      </c>
      <c r="G35" s="33" t="n"/>
      <c r="H35" s="33" t="n"/>
    </row>
    <row r="36">
      <c r="C36" s="33" t="n"/>
      <c r="D36" s="33" t="n"/>
      <c r="E36" s="34">
        <f>IF(OR($B36="",$C36="",$D36=""),"",SUMIFS('Appointments'!$E:$E,'Appointments'!$B:$B,$B36,'Appointments'!$F:$F,"Done",'Appointments'!$A:$A,"&gt;="&amp;$C36,'Appointments'!$A:$A,"&lt;="&amp;$D36))</f>
        <v/>
      </c>
      <c r="F36" s="34">
        <f>IF(OR($B36="",$C36="",$D36=""),"",SUMIFS('Appointments'!$E:$E,'Appointments'!$B:$B,$B36,'Appointments'!$F:$F,"Done",'Appointments'!$A:$A,"&gt;="&amp;$C36,'Appointments'!$A:$A,"&lt;="&amp;$D36,'Appointments'!$G:$G,"&lt;&gt;Yes"))</f>
        <v/>
      </c>
      <c r="G36" s="33" t="n"/>
      <c r="H36" s="33" t="n"/>
    </row>
    <row r="37">
      <c r="C37" s="33" t="n"/>
      <c r="D37" s="33" t="n"/>
      <c r="E37" s="34">
        <f>IF(OR($B37="",$C37="",$D37=""),"",SUMIFS('Appointments'!$E:$E,'Appointments'!$B:$B,$B37,'Appointments'!$F:$F,"Done",'Appointments'!$A:$A,"&gt;="&amp;$C37,'Appointments'!$A:$A,"&lt;="&amp;$D37))</f>
        <v/>
      </c>
      <c r="F37" s="34">
        <f>IF(OR($B37="",$C37="",$D37=""),"",SUMIFS('Appointments'!$E:$E,'Appointments'!$B:$B,$B37,'Appointments'!$F:$F,"Done",'Appointments'!$A:$A,"&gt;="&amp;$C37,'Appointments'!$A:$A,"&lt;="&amp;$D37,'Appointments'!$G:$G,"&lt;&gt;Yes"))</f>
        <v/>
      </c>
      <c r="G37" s="33" t="n"/>
      <c r="H37" s="33" t="n"/>
    </row>
    <row r="38">
      <c r="C38" s="33" t="n"/>
      <c r="D38" s="33" t="n"/>
      <c r="E38" s="34">
        <f>IF(OR($B38="",$C38="",$D38=""),"",SUMIFS('Appointments'!$E:$E,'Appointments'!$B:$B,$B38,'Appointments'!$F:$F,"Done",'Appointments'!$A:$A,"&gt;="&amp;$C38,'Appointments'!$A:$A,"&lt;="&amp;$D38))</f>
        <v/>
      </c>
      <c r="F38" s="34">
        <f>IF(OR($B38="",$C38="",$D38=""),"",SUMIFS('Appointments'!$E:$E,'Appointments'!$B:$B,$B38,'Appointments'!$F:$F,"Done",'Appointments'!$A:$A,"&gt;="&amp;$C38,'Appointments'!$A:$A,"&lt;="&amp;$D38,'Appointments'!$G:$G,"&lt;&gt;Yes"))</f>
        <v/>
      </c>
      <c r="G38" s="33" t="n"/>
      <c r="H38" s="33" t="n"/>
    </row>
    <row r="39">
      <c r="C39" s="33" t="n"/>
      <c r="D39" s="33" t="n"/>
      <c r="E39" s="34">
        <f>IF(OR($B39="",$C39="",$D39=""),"",SUMIFS('Appointments'!$E:$E,'Appointments'!$B:$B,$B39,'Appointments'!$F:$F,"Done",'Appointments'!$A:$A,"&gt;="&amp;$C39,'Appointments'!$A:$A,"&lt;="&amp;$D39))</f>
        <v/>
      </c>
      <c r="F39" s="34">
        <f>IF(OR($B39="",$C39="",$D39=""),"",SUMIFS('Appointments'!$E:$E,'Appointments'!$B:$B,$B39,'Appointments'!$F:$F,"Done",'Appointments'!$A:$A,"&gt;="&amp;$C39,'Appointments'!$A:$A,"&lt;="&amp;$D39,'Appointments'!$G:$G,"&lt;&gt;Yes"))</f>
        <v/>
      </c>
      <c r="G39" s="33" t="n"/>
      <c r="H39" s="33" t="n"/>
    </row>
    <row r="40">
      <c r="C40" s="33" t="n"/>
      <c r="D40" s="33" t="n"/>
      <c r="E40" s="34">
        <f>IF(OR($B40="",$C40="",$D40=""),"",SUMIFS('Appointments'!$E:$E,'Appointments'!$B:$B,$B40,'Appointments'!$F:$F,"Done",'Appointments'!$A:$A,"&gt;="&amp;$C40,'Appointments'!$A:$A,"&lt;="&amp;$D40))</f>
        <v/>
      </c>
      <c r="F40" s="34">
        <f>IF(OR($B40="",$C40="",$D40=""),"",SUMIFS('Appointments'!$E:$E,'Appointments'!$B:$B,$B40,'Appointments'!$F:$F,"Done",'Appointments'!$A:$A,"&gt;="&amp;$C40,'Appointments'!$A:$A,"&lt;="&amp;$D40,'Appointments'!$G:$G,"&lt;&gt;Yes"))</f>
        <v/>
      </c>
      <c r="G40" s="33" t="n"/>
      <c r="H40" s="33" t="n"/>
    </row>
    <row r="41">
      <c r="C41" s="33" t="n"/>
      <c r="D41" s="33" t="n"/>
      <c r="E41" s="34">
        <f>IF(OR($B41="",$C41="",$D41=""),"",SUMIFS('Appointments'!$E:$E,'Appointments'!$B:$B,$B41,'Appointments'!$F:$F,"Done",'Appointments'!$A:$A,"&gt;="&amp;$C41,'Appointments'!$A:$A,"&lt;="&amp;$D41))</f>
        <v/>
      </c>
      <c r="F41" s="34">
        <f>IF(OR($B41="",$C41="",$D41=""),"",SUMIFS('Appointments'!$E:$E,'Appointments'!$B:$B,$B41,'Appointments'!$F:$F,"Done",'Appointments'!$A:$A,"&gt;="&amp;$C41,'Appointments'!$A:$A,"&lt;="&amp;$D41,'Appointments'!$G:$G,"&lt;&gt;Yes"))</f>
        <v/>
      </c>
      <c r="G41" s="33" t="n"/>
      <c r="H41" s="33" t="n"/>
    </row>
    <row r="42">
      <c r="C42" s="33" t="n"/>
      <c r="D42" s="33" t="n"/>
      <c r="E42" s="34">
        <f>IF(OR($B42="",$C42="",$D42=""),"",SUMIFS('Appointments'!$E:$E,'Appointments'!$B:$B,$B42,'Appointments'!$F:$F,"Done",'Appointments'!$A:$A,"&gt;="&amp;$C42,'Appointments'!$A:$A,"&lt;="&amp;$D42))</f>
        <v/>
      </c>
      <c r="F42" s="34">
        <f>IF(OR($B42="",$C42="",$D42=""),"",SUMIFS('Appointments'!$E:$E,'Appointments'!$B:$B,$B42,'Appointments'!$F:$F,"Done",'Appointments'!$A:$A,"&gt;="&amp;$C42,'Appointments'!$A:$A,"&lt;="&amp;$D42,'Appointments'!$G:$G,"&lt;&gt;Yes"))</f>
        <v/>
      </c>
      <c r="G42" s="33" t="n"/>
      <c r="H42" s="33" t="n"/>
    </row>
    <row r="43">
      <c r="C43" s="33" t="n"/>
      <c r="D43" s="33" t="n"/>
      <c r="E43" s="34">
        <f>IF(OR($B43="",$C43="",$D43=""),"",SUMIFS('Appointments'!$E:$E,'Appointments'!$B:$B,$B43,'Appointments'!$F:$F,"Done",'Appointments'!$A:$A,"&gt;="&amp;$C43,'Appointments'!$A:$A,"&lt;="&amp;$D43))</f>
        <v/>
      </c>
      <c r="F43" s="34">
        <f>IF(OR($B43="",$C43="",$D43=""),"",SUMIFS('Appointments'!$E:$E,'Appointments'!$B:$B,$B43,'Appointments'!$F:$F,"Done",'Appointments'!$A:$A,"&gt;="&amp;$C43,'Appointments'!$A:$A,"&lt;="&amp;$D43,'Appointments'!$G:$G,"&lt;&gt;Yes"))</f>
        <v/>
      </c>
      <c r="G43" s="33" t="n"/>
      <c r="H43" s="33" t="n"/>
    </row>
    <row r="44">
      <c r="C44" s="33" t="n"/>
      <c r="D44" s="33" t="n"/>
      <c r="E44" s="34">
        <f>IF(OR($B44="",$C44="",$D44=""),"",SUMIFS('Appointments'!$E:$E,'Appointments'!$B:$B,$B44,'Appointments'!$F:$F,"Done",'Appointments'!$A:$A,"&gt;="&amp;$C44,'Appointments'!$A:$A,"&lt;="&amp;$D44))</f>
        <v/>
      </c>
      <c r="F44" s="34">
        <f>IF(OR($B44="",$C44="",$D44=""),"",SUMIFS('Appointments'!$E:$E,'Appointments'!$B:$B,$B44,'Appointments'!$F:$F,"Done",'Appointments'!$A:$A,"&gt;="&amp;$C44,'Appointments'!$A:$A,"&lt;="&amp;$D44,'Appointments'!$G:$G,"&lt;&gt;Yes"))</f>
        <v/>
      </c>
      <c r="G44" s="33" t="n"/>
      <c r="H44" s="33" t="n"/>
    </row>
    <row r="45">
      <c r="C45" s="33" t="n"/>
      <c r="D45" s="33" t="n"/>
      <c r="E45" s="34">
        <f>IF(OR($B45="",$C45="",$D45=""),"",SUMIFS('Appointments'!$E:$E,'Appointments'!$B:$B,$B45,'Appointments'!$F:$F,"Done",'Appointments'!$A:$A,"&gt;="&amp;$C45,'Appointments'!$A:$A,"&lt;="&amp;$D45))</f>
        <v/>
      </c>
      <c r="F45" s="34">
        <f>IF(OR($B45="",$C45="",$D45=""),"",SUMIFS('Appointments'!$E:$E,'Appointments'!$B:$B,$B45,'Appointments'!$F:$F,"Done",'Appointments'!$A:$A,"&gt;="&amp;$C45,'Appointments'!$A:$A,"&lt;="&amp;$D45,'Appointments'!$G:$G,"&lt;&gt;Yes"))</f>
        <v/>
      </c>
      <c r="G45" s="33" t="n"/>
      <c r="H45" s="33" t="n"/>
    </row>
    <row r="46">
      <c r="C46" s="33" t="n"/>
      <c r="D46" s="33" t="n"/>
      <c r="E46" s="34">
        <f>IF(OR($B46="",$C46="",$D46=""),"",SUMIFS('Appointments'!$E:$E,'Appointments'!$B:$B,$B46,'Appointments'!$F:$F,"Done",'Appointments'!$A:$A,"&gt;="&amp;$C46,'Appointments'!$A:$A,"&lt;="&amp;$D46))</f>
        <v/>
      </c>
      <c r="F46" s="34">
        <f>IF(OR($B46="",$C46="",$D46=""),"",SUMIFS('Appointments'!$E:$E,'Appointments'!$B:$B,$B46,'Appointments'!$F:$F,"Done",'Appointments'!$A:$A,"&gt;="&amp;$C46,'Appointments'!$A:$A,"&lt;="&amp;$D46,'Appointments'!$G:$G,"&lt;&gt;Yes"))</f>
        <v/>
      </c>
      <c r="G46" s="33" t="n"/>
      <c r="H46" s="33" t="n"/>
    </row>
    <row r="47">
      <c r="C47" s="33" t="n"/>
      <c r="D47" s="33" t="n"/>
      <c r="E47" s="34">
        <f>IF(OR($B47="",$C47="",$D47=""),"",SUMIFS('Appointments'!$E:$E,'Appointments'!$B:$B,$B47,'Appointments'!$F:$F,"Done",'Appointments'!$A:$A,"&gt;="&amp;$C47,'Appointments'!$A:$A,"&lt;="&amp;$D47))</f>
        <v/>
      </c>
      <c r="F47" s="34">
        <f>IF(OR($B47="",$C47="",$D47=""),"",SUMIFS('Appointments'!$E:$E,'Appointments'!$B:$B,$B47,'Appointments'!$F:$F,"Done",'Appointments'!$A:$A,"&gt;="&amp;$C47,'Appointments'!$A:$A,"&lt;="&amp;$D47,'Appointments'!$G:$G,"&lt;&gt;Yes"))</f>
        <v/>
      </c>
      <c r="G47" s="33" t="n"/>
      <c r="H47" s="33" t="n"/>
    </row>
    <row r="48">
      <c r="C48" s="33" t="n"/>
      <c r="D48" s="33" t="n"/>
      <c r="E48" s="34">
        <f>IF(OR($B48="",$C48="",$D48=""),"",SUMIFS('Appointments'!$E:$E,'Appointments'!$B:$B,$B48,'Appointments'!$F:$F,"Done",'Appointments'!$A:$A,"&gt;="&amp;$C48,'Appointments'!$A:$A,"&lt;="&amp;$D48))</f>
        <v/>
      </c>
      <c r="F48" s="34">
        <f>IF(OR($B48="",$C48="",$D48=""),"",SUMIFS('Appointments'!$E:$E,'Appointments'!$B:$B,$B48,'Appointments'!$F:$F,"Done",'Appointments'!$A:$A,"&gt;="&amp;$C48,'Appointments'!$A:$A,"&lt;="&amp;$D48,'Appointments'!$G:$G,"&lt;&gt;Yes"))</f>
        <v/>
      </c>
      <c r="G48" s="33" t="n"/>
      <c r="H48" s="33" t="n"/>
    </row>
    <row r="49">
      <c r="C49" s="33" t="n"/>
      <c r="D49" s="33" t="n"/>
      <c r="E49" s="34">
        <f>IF(OR($B49="",$C49="",$D49=""),"",SUMIFS('Appointments'!$E:$E,'Appointments'!$B:$B,$B49,'Appointments'!$F:$F,"Done",'Appointments'!$A:$A,"&gt;="&amp;$C49,'Appointments'!$A:$A,"&lt;="&amp;$D49))</f>
        <v/>
      </c>
      <c r="F49" s="34">
        <f>IF(OR($B49="",$C49="",$D49=""),"",SUMIFS('Appointments'!$E:$E,'Appointments'!$B:$B,$B49,'Appointments'!$F:$F,"Done",'Appointments'!$A:$A,"&gt;="&amp;$C49,'Appointments'!$A:$A,"&lt;="&amp;$D49,'Appointments'!$G:$G,"&lt;&gt;Yes"))</f>
        <v/>
      </c>
      <c r="G49" s="33" t="n"/>
      <c r="H49" s="33" t="n"/>
    </row>
    <row r="50">
      <c r="C50" s="33" t="n"/>
      <c r="D50" s="33" t="n"/>
      <c r="E50" s="34">
        <f>IF(OR($B50="",$C50="",$D50=""),"",SUMIFS('Appointments'!$E:$E,'Appointments'!$B:$B,$B50,'Appointments'!$F:$F,"Done",'Appointments'!$A:$A,"&gt;="&amp;$C50,'Appointments'!$A:$A,"&lt;="&amp;$D50))</f>
        <v/>
      </c>
      <c r="F50" s="34">
        <f>IF(OR($B50="",$C50="",$D50=""),"",SUMIFS('Appointments'!$E:$E,'Appointments'!$B:$B,$B50,'Appointments'!$F:$F,"Done",'Appointments'!$A:$A,"&gt;="&amp;$C50,'Appointments'!$A:$A,"&lt;="&amp;$D50,'Appointments'!$G:$G,"&lt;&gt;Yes"))</f>
        <v/>
      </c>
      <c r="G50" s="33" t="n"/>
      <c r="H50" s="33" t="n"/>
    </row>
    <row r="51">
      <c r="C51" s="33" t="n"/>
      <c r="D51" s="33" t="n"/>
      <c r="E51" s="34">
        <f>IF(OR($B51="",$C51="",$D51=""),"",SUMIFS('Appointments'!$E:$E,'Appointments'!$B:$B,$B51,'Appointments'!$F:$F,"Done",'Appointments'!$A:$A,"&gt;="&amp;$C51,'Appointments'!$A:$A,"&lt;="&amp;$D51))</f>
        <v/>
      </c>
      <c r="F51" s="34">
        <f>IF(OR($B51="",$C51="",$D51=""),"",SUMIFS('Appointments'!$E:$E,'Appointments'!$B:$B,$B51,'Appointments'!$F:$F,"Done",'Appointments'!$A:$A,"&gt;="&amp;$C51,'Appointments'!$A:$A,"&lt;="&amp;$D51,'Appointments'!$G:$G,"&lt;&gt;Yes"))</f>
        <v/>
      </c>
      <c r="G51" s="33" t="n"/>
      <c r="H51" s="33" t="n"/>
    </row>
    <row r="52">
      <c r="C52" s="33" t="n"/>
      <c r="D52" s="33" t="n"/>
      <c r="E52" s="34">
        <f>IF(OR($B52="",$C52="",$D52=""),"",SUMIFS('Appointments'!$E:$E,'Appointments'!$B:$B,$B52,'Appointments'!$F:$F,"Done",'Appointments'!$A:$A,"&gt;="&amp;$C52,'Appointments'!$A:$A,"&lt;="&amp;$D52))</f>
        <v/>
      </c>
      <c r="F52" s="34">
        <f>IF(OR($B52="",$C52="",$D52=""),"",SUMIFS('Appointments'!$E:$E,'Appointments'!$B:$B,$B52,'Appointments'!$F:$F,"Done",'Appointments'!$A:$A,"&gt;="&amp;$C52,'Appointments'!$A:$A,"&lt;="&amp;$D52,'Appointments'!$G:$G,"&lt;&gt;Yes"))</f>
        <v/>
      </c>
      <c r="G52" s="33" t="n"/>
      <c r="H52" s="33" t="n"/>
    </row>
    <row r="53">
      <c r="C53" s="33" t="n"/>
      <c r="D53" s="33" t="n"/>
      <c r="E53" s="34">
        <f>IF(OR($B53="",$C53="",$D53=""),"",SUMIFS('Appointments'!$E:$E,'Appointments'!$B:$B,$B53,'Appointments'!$F:$F,"Done",'Appointments'!$A:$A,"&gt;="&amp;$C53,'Appointments'!$A:$A,"&lt;="&amp;$D53))</f>
        <v/>
      </c>
      <c r="F53" s="34">
        <f>IF(OR($B53="",$C53="",$D53=""),"",SUMIFS('Appointments'!$E:$E,'Appointments'!$B:$B,$B53,'Appointments'!$F:$F,"Done",'Appointments'!$A:$A,"&gt;="&amp;$C53,'Appointments'!$A:$A,"&lt;="&amp;$D53,'Appointments'!$G:$G,"&lt;&gt;Yes"))</f>
        <v/>
      </c>
      <c r="G53" s="33" t="n"/>
      <c r="H53" s="33" t="n"/>
    </row>
    <row r="54">
      <c r="C54" s="33" t="n"/>
      <c r="D54" s="33" t="n"/>
      <c r="E54" s="34">
        <f>IF(OR($B54="",$C54="",$D54=""),"",SUMIFS('Appointments'!$E:$E,'Appointments'!$B:$B,$B54,'Appointments'!$F:$F,"Done",'Appointments'!$A:$A,"&gt;="&amp;$C54,'Appointments'!$A:$A,"&lt;="&amp;$D54))</f>
        <v/>
      </c>
      <c r="F54" s="34">
        <f>IF(OR($B54="",$C54="",$D54=""),"",SUMIFS('Appointments'!$E:$E,'Appointments'!$B:$B,$B54,'Appointments'!$F:$F,"Done",'Appointments'!$A:$A,"&gt;="&amp;$C54,'Appointments'!$A:$A,"&lt;="&amp;$D54,'Appointments'!$G:$G,"&lt;&gt;Yes"))</f>
        <v/>
      </c>
      <c r="G54" s="33" t="n"/>
      <c r="H54" s="33" t="n"/>
    </row>
    <row r="55">
      <c r="C55" s="33" t="n"/>
      <c r="D55" s="33" t="n"/>
      <c r="E55" s="34">
        <f>IF(OR($B55="",$C55="",$D55=""),"",SUMIFS('Appointments'!$E:$E,'Appointments'!$B:$B,$B55,'Appointments'!$F:$F,"Done",'Appointments'!$A:$A,"&gt;="&amp;$C55,'Appointments'!$A:$A,"&lt;="&amp;$D55))</f>
        <v/>
      </c>
      <c r="F55" s="34">
        <f>IF(OR($B55="",$C55="",$D55=""),"",SUMIFS('Appointments'!$E:$E,'Appointments'!$B:$B,$B55,'Appointments'!$F:$F,"Done",'Appointments'!$A:$A,"&gt;="&amp;$C55,'Appointments'!$A:$A,"&lt;="&amp;$D55,'Appointments'!$G:$G,"&lt;&gt;Yes"))</f>
        <v/>
      </c>
      <c r="G55" s="33" t="n"/>
      <c r="H55" s="33" t="n"/>
    </row>
    <row r="56">
      <c r="C56" s="33" t="n"/>
      <c r="D56" s="33" t="n"/>
      <c r="E56" s="34">
        <f>IF(OR($B56="",$C56="",$D56=""),"",SUMIFS('Appointments'!$E:$E,'Appointments'!$B:$B,$B56,'Appointments'!$F:$F,"Done",'Appointments'!$A:$A,"&gt;="&amp;$C56,'Appointments'!$A:$A,"&lt;="&amp;$D56))</f>
        <v/>
      </c>
      <c r="F56" s="34">
        <f>IF(OR($B56="",$C56="",$D56=""),"",SUMIFS('Appointments'!$E:$E,'Appointments'!$B:$B,$B56,'Appointments'!$F:$F,"Done",'Appointments'!$A:$A,"&gt;="&amp;$C56,'Appointments'!$A:$A,"&lt;="&amp;$D56,'Appointments'!$G:$G,"&lt;&gt;Yes"))</f>
        <v/>
      </c>
      <c r="G56" s="33" t="n"/>
      <c r="H56" s="33" t="n"/>
    </row>
    <row r="57">
      <c r="C57" s="33" t="n"/>
      <c r="D57" s="33" t="n"/>
      <c r="E57" s="34">
        <f>IF(OR($B57="",$C57="",$D57=""),"",SUMIFS('Appointments'!$E:$E,'Appointments'!$B:$B,$B57,'Appointments'!$F:$F,"Done",'Appointments'!$A:$A,"&gt;="&amp;$C57,'Appointments'!$A:$A,"&lt;="&amp;$D57))</f>
        <v/>
      </c>
      <c r="F57" s="34">
        <f>IF(OR($B57="",$C57="",$D57=""),"",SUMIFS('Appointments'!$E:$E,'Appointments'!$B:$B,$B57,'Appointments'!$F:$F,"Done",'Appointments'!$A:$A,"&gt;="&amp;$C57,'Appointments'!$A:$A,"&lt;="&amp;$D57,'Appointments'!$G:$G,"&lt;&gt;Yes"))</f>
        <v/>
      </c>
      <c r="G57" s="33" t="n"/>
      <c r="H57" s="33" t="n"/>
    </row>
    <row r="58">
      <c r="C58" s="33" t="n"/>
      <c r="D58" s="33" t="n"/>
      <c r="E58" s="34">
        <f>IF(OR($B58="",$C58="",$D58=""),"",SUMIFS('Appointments'!$E:$E,'Appointments'!$B:$B,$B58,'Appointments'!$F:$F,"Done",'Appointments'!$A:$A,"&gt;="&amp;$C58,'Appointments'!$A:$A,"&lt;="&amp;$D58))</f>
        <v/>
      </c>
      <c r="F58" s="34">
        <f>IF(OR($B58="",$C58="",$D58=""),"",SUMIFS('Appointments'!$E:$E,'Appointments'!$B:$B,$B58,'Appointments'!$F:$F,"Done",'Appointments'!$A:$A,"&gt;="&amp;$C58,'Appointments'!$A:$A,"&lt;="&amp;$D58,'Appointments'!$G:$G,"&lt;&gt;Yes"))</f>
        <v/>
      </c>
      <c r="G58" s="33" t="n"/>
      <c r="H58" s="33" t="n"/>
    </row>
    <row r="59">
      <c r="C59" s="33" t="n"/>
      <c r="D59" s="33" t="n"/>
      <c r="E59" s="34">
        <f>IF(OR($B59="",$C59="",$D59=""),"",SUMIFS('Appointments'!$E:$E,'Appointments'!$B:$B,$B59,'Appointments'!$F:$F,"Done",'Appointments'!$A:$A,"&gt;="&amp;$C59,'Appointments'!$A:$A,"&lt;="&amp;$D59))</f>
        <v/>
      </c>
      <c r="F59" s="34">
        <f>IF(OR($B59="",$C59="",$D59=""),"",SUMIFS('Appointments'!$E:$E,'Appointments'!$B:$B,$B59,'Appointments'!$F:$F,"Done",'Appointments'!$A:$A,"&gt;="&amp;$C59,'Appointments'!$A:$A,"&lt;="&amp;$D59,'Appointments'!$G:$G,"&lt;&gt;Yes"))</f>
        <v/>
      </c>
      <c r="G59" s="33" t="n"/>
      <c r="H59" s="33" t="n"/>
    </row>
    <row r="60">
      <c r="C60" s="33" t="n"/>
      <c r="D60" s="33" t="n"/>
      <c r="E60" s="34">
        <f>IF(OR($B60="",$C60="",$D60=""),"",SUMIFS('Appointments'!$E:$E,'Appointments'!$B:$B,$B60,'Appointments'!$F:$F,"Done",'Appointments'!$A:$A,"&gt;="&amp;$C60,'Appointments'!$A:$A,"&lt;="&amp;$D60))</f>
        <v/>
      </c>
      <c r="F60" s="34">
        <f>IF(OR($B60="",$C60="",$D60=""),"",SUMIFS('Appointments'!$E:$E,'Appointments'!$B:$B,$B60,'Appointments'!$F:$F,"Done",'Appointments'!$A:$A,"&gt;="&amp;$C60,'Appointments'!$A:$A,"&lt;="&amp;$D60,'Appointments'!$G:$G,"&lt;&gt;Yes"))</f>
        <v/>
      </c>
      <c r="G60" s="33" t="n"/>
      <c r="H60" s="33" t="n"/>
    </row>
    <row r="61">
      <c r="C61" s="33" t="n"/>
      <c r="D61" s="33" t="n"/>
      <c r="E61" s="34">
        <f>IF(OR($B61="",$C61="",$D61=""),"",SUMIFS('Appointments'!$E:$E,'Appointments'!$B:$B,$B61,'Appointments'!$F:$F,"Done",'Appointments'!$A:$A,"&gt;="&amp;$C61,'Appointments'!$A:$A,"&lt;="&amp;$D61))</f>
        <v/>
      </c>
      <c r="F61" s="34">
        <f>IF(OR($B61="",$C61="",$D61=""),"",SUMIFS('Appointments'!$E:$E,'Appointments'!$B:$B,$B61,'Appointments'!$F:$F,"Done",'Appointments'!$A:$A,"&gt;="&amp;$C61,'Appointments'!$A:$A,"&lt;="&amp;$D61,'Appointments'!$G:$G,"&lt;&gt;Yes"))</f>
        <v/>
      </c>
      <c r="G61" s="33" t="n"/>
      <c r="H61" s="33" t="n"/>
    </row>
    <row r="62">
      <c r="C62" s="33" t="n"/>
      <c r="D62" s="33" t="n"/>
      <c r="E62" s="34">
        <f>IF(OR($B62="",$C62="",$D62=""),"",SUMIFS('Appointments'!$E:$E,'Appointments'!$B:$B,$B62,'Appointments'!$F:$F,"Done",'Appointments'!$A:$A,"&gt;="&amp;$C62,'Appointments'!$A:$A,"&lt;="&amp;$D62))</f>
        <v/>
      </c>
      <c r="F62" s="34">
        <f>IF(OR($B62="",$C62="",$D62=""),"",SUMIFS('Appointments'!$E:$E,'Appointments'!$B:$B,$B62,'Appointments'!$F:$F,"Done",'Appointments'!$A:$A,"&gt;="&amp;$C62,'Appointments'!$A:$A,"&lt;="&amp;$D62,'Appointments'!$G:$G,"&lt;&gt;Yes"))</f>
        <v/>
      </c>
      <c r="G62" s="33" t="n"/>
      <c r="H62" s="33" t="n"/>
    </row>
    <row r="63">
      <c r="C63" s="33" t="n"/>
      <c r="D63" s="33" t="n"/>
      <c r="E63" s="34">
        <f>IF(OR($B63="",$C63="",$D63=""),"",SUMIFS('Appointments'!$E:$E,'Appointments'!$B:$B,$B63,'Appointments'!$F:$F,"Done",'Appointments'!$A:$A,"&gt;="&amp;$C63,'Appointments'!$A:$A,"&lt;="&amp;$D63))</f>
        <v/>
      </c>
      <c r="F63" s="34">
        <f>IF(OR($B63="",$C63="",$D63=""),"",SUMIFS('Appointments'!$E:$E,'Appointments'!$B:$B,$B63,'Appointments'!$F:$F,"Done",'Appointments'!$A:$A,"&gt;="&amp;$C63,'Appointments'!$A:$A,"&lt;="&amp;$D63,'Appointments'!$G:$G,"&lt;&gt;Yes"))</f>
        <v/>
      </c>
      <c r="G63" s="33" t="n"/>
      <c r="H63" s="33" t="n"/>
    </row>
    <row r="64">
      <c r="C64" s="33" t="n"/>
      <c r="D64" s="33" t="n"/>
      <c r="E64" s="34">
        <f>IF(OR($B64="",$C64="",$D64=""),"",SUMIFS('Appointments'!$E:$E,'Appointments'!$B:$B,$B64,'Appointments'!$F:$F,"Done",'Appointments'!$A:$A,"&gt;="&amp;$C64,'Appointments'!$A:$A,"&lt;="&amp;$D64))</f>
        <v/>
      </c>
      <c r="F64" s="34">
        <f>IF(OR($B64="",$C64="",$D64=""),"",SUMIFS('Appointments'!$E:$E,'Appointments'!$B:$B,$B64,'Appointments'!$F:$F,"Done",'Appointments'!$A:$A,"&gt;="&amp;$C64,'Appointments'!$A:$A,"&lt;="&amp;$D64,'Appointments'!$G:$G,"&lt;&gt;Yes"))</f>
        <v/>
      </c>
      <c r="G64" s="33" t="n"/>
      <c r="H64" s="33" t="n"/>
    </row>
    <row r="65">
      <c r="C65" s="33" t="n"/>
      <c r="D65" s="33" t="n"/>
      <c r="E65" s="34">
        <f>IF(OR($B65="",$C65="",$D65=""),"",SUMIFS('Appointments'!$E:$E,'Appointments'!$B:$B,$B65,'Appointments'!$F:$F,"Done",'Appointments'!$A:$A,"&gt;="&amp;$C65,'Appointments'!$A:$A,"&lt;="&amp;$D65))</f>
        <v/>
      </c>
      <c r="F65" s="34">
        <f>IF(OR($B65="",$C65="",$D65=""),"",SUMIFS('Appointments'!$E:$E,'Appointments'!$B:$B,$B65,'Appointments'!$F:$F,"Done",'Appointments'!$A:$A,"&gt;="&amp;$C65,'Appointments'!$A:$A,"&lt;="&amp;$D65,'Appointments'!$G:$G,"&lt;&gt;Yes"))</f>
        <v/>
      </c>
      <c r="G65" s="33" t="n"/>
      <c r="H65" s="33" t="n"/>
    </row>
    <row r="66">
      <c r="C66" s="33" t="n"/>
      <c r="D66" s="33" t="n"/>
      <c r="E66" s="34">
        <f>IF(OR($B66="",$C66="",$D66=""),"",SUMIFS('Appointments'!$E:$E,'Appointments'!$B:$B,$B66,'Appointments'!$F:$F,"Done",'Appointments'!$A:$A,"&gt;="&amp;$C66,'Appointments'!$A:$A,"&lt;="&amp;$D66))</f>
        <v/>
      </c>
      <c r="F66" s="34">
        <f>IF(OR($B66="",$C66="",$D66=""),"",SUMIFS('Appointments'!$E:$E,'Appointments'!$B:$B,$B66,'Appointments'!$F:$F,"Done",'Appointments'!$A:$A,"&gt;="&amp;$C66,'Appointments'!$A:$A,"&lt;="&amp;$D66,'Appointments'!$G:$G,"&lt;&gt;Yes"))</f>
        <v/>
      </c>
      <c r="G66" s="33" t="n"/>
      <c r="H66" s="33" t="n"/>
    </row>
    <row r="67">
      <c r="C67" s="33" t="n"/>
      <c r="D67" s="33" t="n"/>
      <c r="E67" s="34">
        <f>IF(OR($B67="",$C67="",$D67=""),"",SUMIFS('Appointments'!$E:$E,'Appointments'!$B:$B,$B67,'Appointments'!$F:$F,"Done",'Appointments'!$A:$A,"&gt;="&amp;$C67,'Appointments'!$A:$A,"&lt;="&amp;$D67))</f>
        <v/>
      </c>
      <c r="F67" s="34">
        <f>IF(OR($B67="",$C67="",$D67=""),"",SUMIFS('Appointments'!$E:$E,'Appointments'!$B:$B,$B67,'Appointments'!$F:$F,"Done",'Appointments'!$A:$A,"&gt;="&amp;$C67,'Appointments'!$A:$A,"&lt;="&amp;$D67,'Appointments'!$G:$G,"&lt;&gt;Yes"))</f>
        <v/>
      </c>
      <c r="G67" s="33" t="n"/>
      <c r="H67" s="33" t="n"/>
    </row>
    <row r="68">
      <c r="C68" s="33" t="n"/>
      <c r="D68" s="33" t="n"/>
      <c r="E68" s="34">
        <f>IF(OR($B68="",$C68="",$D68=""),"",SUMIFS('Appointments'!$E:$E,'Appointments'!$B:$B,$B68,'Appointments'!$F:$F,"Done",'Appointments'!$A:$A,"&gt;="&amp;$C68,'Appointments'!$A:$A,"&lt;="&amp;$D68))</f>
        <v/>
      </c>
      <c r="F68" s="34">
        <f>IF(OR($B68="",$C68="",$D68=""),"",SUMIFS('Appointments'!$E:$E,'Appointments'!$B:$B,$B68,'Appointments'!$F:$F,"Done",'Appointments'!$A:$A,"&gt;="&amp;$C68,'Appointments'!$A:$A,"&lt;="&amp;$D68,'Appointments'!$G:$G,"&lt;&gt;Yes"))</f>
        <v/>
      </c>
      <c r="G68" s="33" t="n"/>
      <c r="H68" s="33" t="n"/>
    </row>
    <row r="69">
      <c r="C69" s="33" t="n"/>
      <c r="D69" s="33" t="n"/>
      <c r="E69" s="34">
        <f>IF(OR($B69="",$C69="",$D69=""),"",SUMIFS('Appointments'!$E:$E,'Appointments'!$B:$B,$B69,'Appointments'!$F:$F,"Done",'Appointments'!$A:$A,"&gt;="&amp;$C69,'Appointments'!$A:$A,"&lt;="&amp;$D69))</f>
        <v/>
      </c>
      <c r="F69" s="34">
        <f>IF(OR($B69="",$C69="",$D69=""),"",SUMIFS('Appointments'!$E:$E,'Appointments'!$B:$B,$B69,'Appointments'!$F:$F,"Done",'Appointments'!$A:$A,"&gt;="&amp;$C69,'Appointments'!$A:$A,"&lt;="&amp;$D69,'Appointments'!$G:$G,"&lt;&gt;Yes"))</f>
        <v/>
      </c>
      <c r="G69" s="33" t="n"/>
      <c r="H69" s="33" t="n"/>
    </row>
    <row r="70">
      <c r="C70" s="33" t="n"/>
      <c r="D70" s="33" t="n"/>
      <c r="E70" s="34">
        <f>IF(OR($B70="",$C70="",$D70=""),"",SUMIFS('Appointments'!$E:$E,'Appointments'!$B:$B,$B70,'Appointments'!$F:$F,"Done",'Appointments'!$A:$A,"&gt;="&amp;$C70,'Appointments'!$A:$A,"&lt;="&amp;$D70))</f>
        <v/>
      </c>
      <c r="F70" s="34">
        <f>IF(OR($B70="",$C70="",$D70=""),"",SUMIFS('Appointments'!$E:$E,'Appointments'!$B:$B,$B70,'Appointments'!$F:$F,"Done",'Appointments'!$A:$A,"&gt;="&amp;$C70,'Appointments'!$A:$A,"&lt;="&amp;$D70,'Appointments'!$G:$G,"&lt;&gt;Yes"))</f>
        <v/>
      </c>
      <c r="G70" s="33" t="n"/>
      <c r="H70" s="33" t="n"/>
    </row>
    <row r="71">
      <c r="C71" s="33" t="n"/>
      <c r="D71" s="33" t="n"/>
      <c r="E71" s="34">
        <f>IF(OR($B71="",$C71="",$D71=""),"",SUMIFS('Appointments'!$E:$E,'Appointments'!$B:$B,$B71,'Appointments'!$F:$F,"Done",'Appointments'!$A:$A,"&gt;="&amp;$C71,'Appointments'!$A:$A,"&lt;="&amp;$D71))</f>
        <v/>
      </c>
      <c r="F71" s="34">
        <f>IF(OR($B71="",$C71="",$D71=""),"",SUMIFS('Appointments'!$E:$E,'Appointments'!$B:$B,$B71,'Appointments'!$F:$F,"Done",'Appointments'!$A:$A,"&gt;="&amp;$C71,'Appointments'!$A:$A,"&lt;="&amp;$D71,'Appointments'!$G:$G,"&lt;&gt;Yes"))</f>
        <v/>
      </c>
      <c r="G71" s="33" t="n"/>
      <c r="H71" s="33" t="n"/>
    </row>
    <row r="72">
      <c r="C72" s="33" t="n"/>
      <c r="D72" s="33" t="n"/>
      <c r="E72" s="34">
        <f>IF(OR($B72="",$C72="",$D72=""),"",SUMIFS('Appointments'!$E:$E,'Appointments'!$B:$B,$B72,'Appointments'!$F:$F,"Done",'Appointments'!$A:$A,"&gt;="&amp;$C72,'Appointments'!$A:$A,"&lt;="&amp;$D72))</f>
        <v/>
      </c>
      <c r="F72" s="34">
        <f>IF(OR($B72="",$C72="",$D72=""),"",SUMIFS('Appointments'!$E:$E,'Appointments'!$B:$B,$B72,'Appointments'!$F:$F,"Done",'Appointments'!$A:$A,"&gt;="&amp;$C72,'Appointments'!$A:$A,"&lt;="&amp;$D72,'Appointments'!$G:$G,"&lt;&gt;Yes"))</f>
        <v/>
      </c>
      <c r="G72" s="33" t="n"/>
      <c r="H72" s="33" t="n"/>
    </row>
    <row r="73">
      <c r="C73" s="33" t="n"/>
      <c r="D73" s="33" t="n"/>
      <c r="E73" s="34">
        <f>IF(OR($B73="",$C73="",$D73=""),"",SUMIFS('Appointments'!$E:$E,'Appointments'!$B:$B,$B73,'Appointments'!$F:$F,"Done",'Appointments'!$A:$A,"&gt;="&amp;$C73,'Appointments'!$A:$A,"&lt;="&amp;$D73))</f>
        <v/>
      </c>
      <c r="F73" s="34">
        <f>IF(OR($B73="",$C73="",$D73=""),"",SUMIFS('Appointments'!$E:$E,'Appointments'!$B:$B,$B73,'Appointments'!$F:$F,"Done",'Appointments'!$A:$A,"&gt;="&amp;$C73,'Appointments'!$A:$A,"&lt;="&amp;$D73,'Appointments'!$G:$G,"&lt;&gt;Yes"))</f>
        <v/>
      </c>
      <c r="G73" s="33" t="n"/>
      <c r="H73" s="33" t="n"/>
    </row>
    <row r="74">
      <c r="C74" s="33" t="n"/>
      <c r="D74" s="33" t="n"/>
      <c r="E74" s="34">
        <f>IF(OR($B74="",$C74="",$D74=""),"",SUMIFS('Appointments'!$E:$E,'Appointments'!$B:$B,$B74,'Appointments'!$F:$F,"Done",'Appointments'!$A:$A,"&gt;="&amp;$C74,'Appointments'!$A:$A,"&lt;="&amp;$D74))</f>
        <v/>
      </c>
      <c r="F74" s="34">
        <f>IF(OR($B74="",$C74="",$D74=""),"",SUMIFS('Appointments'!$E:$E,'Appointments'!$B:$B,$B74,'Appointments'!$F:$F,"Done",'Appointments'!$A:$A,"&gt;="&amp;$C74,'Appointments'!$A:$A,"&lt;="&amp;$D74,'Appointments'!$G:$G,"&lt;&gt;Yes"))</f>
        <v/>
      </c>
      <c r="G74" s="33" t="n"/>
      <c r="H74" s="33" t="n"/>
    </row>
    <row r="75">
      <c r="C75" s="33" t="n"/>
      <c r="D75" s="33" t="n"/>
      <c r="E75" s="34">
        <f>IF(OR($B75="",$C75="",$D75=""),"",SUMIFS('Appointments'!$E:$E,'Appointments'!$B:$B,$B75,'Appointments'!$F:$F,"Done",'Appointments'!$A:$A,"&gt;="&amp;$C75,'Appointments'!$A:$A,"&lt;="&amp;$D75))</f>
        <v/>
      </c>
      <c r="F75" s="34">
        <f>IF(OR($B75="",$C75="",$D75=""),"",SUMIFS('Appointments'!$E:$E,'Appointments'!$B:$B,$B75,'Appointments'!$F:$F,"Done",'Appointments'!$A:$A,"&gt;="&amp;$C75,'Appointments'!$A:$A,"&lt;="&amp;$D75,'Appointments'!$G:$G,"&lt;&gt;Yes"))</f>
        <v/>
      </c>
      <c r="G75" s="33" t="n"/>
      <c r="H75" s="33" t="n"/>
    </row>
    <row r="76">
      <c r="C76" s="33" t="n"/>
      <c r="D76" s="33" t="n"/>
      <c r="E76" s="34">
        <f>IF(OR($B76="",$C76="",$D76=""),"",SUMIFS('Appointments'!$E:$E,'Appointments'!$B:$B,$B76,'Appointments'!$F:$F,"Done",'Appointments'!$A:$A,"&gt;="&amp;$C76,'Appointments'!$A:$A,"&lt;="&amp;$D76))</f>
        <v/>
      </c>
      <c r="F76" s="34">
        <f>IF(OR($B76="",$C76="",$D76=""),"",SUMIFS('Appointments'!$E:$E,'Appointments'!$B:$B,$B76,'Appointments'!$F:$F,"Done",'Appointments'!$A:$A,"&gt;="&amp;$C76,'Appointments'!$A:$A,"&lt;="&amp;$D76,'Appointments'!$G:$G,"&lt;&gt;Yes"))</f>
        <v/>
      </c>
      <c r="G76" s="33" t="n"/>
      <c r="H76" s="33" t="n"/>
    </row>
    <row r="77">
      <c r="C77" s="33" t="n"/>
      <c r="D77" s="33" t="n"/>
      <c r="E77" s="34">
        <f>IF(OR($B77="",$C77="",$D77=""),"",SUMIFS('Appointments'!$E:$E,'Appointments'!$B:$B,$B77,'Appointments'!$F:$F,"Done",'Appointments'!$A:$A,"&gt;="&amp;$C77,'Appointments'!$A:$A,"&lt;="&amp;$D77))</f>
        <v/>
      </c>
      <c r="F77" s="34">
        <f>IF(OR($B77="",$C77="",$D77=""),"",SUMIFS('Appointments'!$E:$E,'Appointments'!$B:$B,$B77,'Appointments'!$F:$F,"Done",'Appointments'!$A:$A,"&gt;="&amp;$C77,'Appointments'!$A:$A,"&lt;="&amp;$D77,'Appointments'!$G:$G,"&lt;&gt;Yes"))</f>
        <v/>
      </c>
      <c r="G77" s="33" t="n"/>
      <c r="H77" s="33" t="n"/>
    </row>
    <row r="78">
      <c r="C78" s="33" t="n"/>
      <c r="D78" s="33" t="n"/>
      <c r="E78" s="34">
        <f>IF(OR($B78="",$C78="",$D78=""),"",SUMIFS('Appointments'!$E:$E,'Appointments'!$B:$B,$B78,'Appointments'!$F:$F,"Done",'Appointments'!$A:$A,"&gt;="&amp;$C78,'Appointments'!$A:$A,"&lt;="&amp;$D78))</f>
        <v/>
      </c>
      <c r="F78" s="34">
        <f>IF(OR($B78="",$C78="",$D78=""),"",SUMIFS('Appointments'!$E:$E,'Appointments'!$B:$B,$B78,'Appointments'!$F:$F,"Done",'Appointments'!$A:$A,"&gt;="&amp;$C78,'Appointments'!$A:$A,"&lt;="&amp;$D78,'Appointments'!$G:$G,"&lt;&gt;Yes"))</f>
        <v/>
      </c>
      <c r="G78" s="33" t="n"/>
      <c r="H78" s="33" t="n"/>
    </row>
    <row r="79">
      <c r="C79" s="33" t="n"/>
      <c r="D79" s="33" t="n"/>
      <c r="E79" s="34">
        <f>IF(OR($B79="",$C79="",$D79=""),"",SUMIFS('Appointments'!$E:$E,'Appointments'!$B:$B,$B79,'Appointments'!$F:$F,"Done",'Appointments'!$A:$A,"&gt;="&amp;$C79,'Appointments'!$A:$A,"&lt;="&amp;$D79))</f>
        <v/>
      </c>
      <c r="F79" s="34">
        <f>IF(OR($B79="",$C79="",$D79=""),"",SUMIFS('Appointments'!$E:$E,'Appointments'!$B:$B,$B79,'Appointments'!$F:$F,"Done",'Appointments'!$A:$A,"&gt;="&amp;$C79,'Appointments'!$A:$A,"&lt;="&amp;$D79,'Appointments'!$G:$G,"&lt;&gt;Yes"))</f>
        <v/>
      </c>
      <c r="G79" s="33" t="n"/>
      <c r="H79" s="33" t="n"/>
    </row>
    <row r="80">
      <c r="C80" s="33" t="n"/>
      <c r="D80" s="33" t="n"/>
      <c r="E80" s="34">
        <f>IF(OR($B80="",$C80="",$D80=""),"",SUMIFS('Appointments'!$E:$E,'Appointments'!$B:$B,$B80,'Appointments'!$F:$F,"Done",'Appointments'!$A:$A,"&gt;="&amp;$C80,'Appointments'!$A:$A,"&lt;="&amp;$D80))</f>
        <v/>
      </c>
      <c r="F80" s="34">
        <f>IF(OR($B80="",$C80="",$D80=""),"",SUMIFS('Appointments'!$E:$E,'Appointments'!$B:$B,$B80,'Appointments'!$F:$F,"Done",'Appointments'!$A:$A,"&gt;="&amp;$C80,'Appointments'!$A:$A,"&lt;="&amp;$D80,'Appointments'!$G:$G,"&lt;&gt;Yes"))</f>
        <v/>
      </c>
      <c r="G80" s="33" t="n"/>
      <c r="H80" s="33" t="n"/>
    </row>
    <row r="81">
      <c r="C81" s="33" t="n"/>
      <c r="D81" s="33" t="n"/>
      <c r="E81" s="34">
        <f>IF(OR($B81="",$C81="",$D81=""),"",SUMIFS('Appointments'!$E:$E,'Appointments'!$B:$B,$B81,'Appointments'!$F:$F,"Done",'Appointments'!$A:$A,"&gt;="&amp;$C81,'Appointments'!$A:$A,"&lt;="&amp;$D81))</f>
        <v/>
      </c>
      <c r="F81" s="34">
        <f>IF(OR($B81="",$C81="",$D81=""),"",SUMIFS('Appointments'!$E:$E,'Appointments'!$B:$B,$B81,'Appointments'!$F:$F,"Done",'Appointments'!$A:$A,"&gt;="&amp;$C81,'Appointments'!$A:$A,"&lt;="&amp;$D81,'Appointments'!$G:$G,"&lt;&gt;Yes"))</f>
        <v/>
      </c>
      <c r="G81" s="33" t="n"/>
      <c r="H81" s="33" t="n"/>
    </row>
    <row r="82">
      <c r="C82" s="33" t="n"/>
      <c r="D82" s="33" t="n"/>
      <c r="E82" s="34">
        <f>IF(OR($B82="",$C82="",$D82=""),"",SUMIFS('Appointments'!$E:$E,'Appointments'!$B:$B,$B82,'Appointments'!$F:$F,"Done",'Appointments'!$A:$A,"&gt;="&amp;$C82,'Appointments'!$A:$A,"&lt;="&amp;$D82))</f>
        <v/>
      </c>
      <c r="F82" s="34">
        <f>IF(OR($B82="",$C82="",$D82=""),"",SUMIFS('Appointments'!$E:$E,'Appointments'!$B:$B,$B82,'Appointments'!$F:$F,"Done",'Appointments'!$A:$A,"&gt;="&amp;$C82,'Appointments'!$A:$A,"&lt;="&amp;$D82,'Appointments'!$G:$G,"&lt;&gt;Yes"))</f>
        <v/>
      </c>
      <c r="G82" s="33" t="n"/>
      <c r="H82" s="33" t="n"/>
    </row>
    <row r="83">
      <c r="C83" s="33" t="n"/>
      <c r="D83" s="33" t="n"/>
      <c r="E83" s="34">
        <f>IF(OR($B83="",$C83="",$D83=""),"",SUMIFS('Appointments'!$E:$E,'Appointments'!$B:$B,$B83,'Appointments'!$F:$F,"Done",'Appointments'!$A:$A,"&gt;="&amp;$C83,'Appointments'!$A:$A,"&lt;="&amp;$D83))</f>
        <v/>
      </c>
      <c r="F83" s="34">
        <f>IF(OR($B83="",$C83="",$D83=""),"",SUMIFS('Appointments'!$E:$E,'Appointments'!$B:$B,$B83,'Appointments'!$F:$F,"Done",'Appointments'!$A:$A,"&gt;="&amp;$C83,'Appointments'!$A:$A,"&lt;="&amp;$D83,'Appointments'!$G:$G,"&lt;&gt;Yes"))</f>
        <v/>
      </c>
      <c r="G83" s="33" t="n"/>
      <c r="H83" s="33" t="n"/>
    </row>
    <row r="84">
      <c r="C84" s="33" t="n"/>
      <c r="D84" s="33" t="n"/>
      <c r="E84" s="34">
        <f>IF(OR($B84="",$C84="",$D84=""),"",SUMIFS('Appointments'!$E:$E,'Appointments'!$B:$B,$B84,'Appointments'!$F:$F,"Done",'Appointments'!$A:$A,"&gt;="&amp;$C84,'Appointments'!$A:$A,"&lt;="&amp;$D84))</f>
        <v/>
      </c>
      <c r="F84" s="34">
        <f>IF(OR($B84="",$C84="",$D84=""),"",SUMIFS('Appointments'!$E:$E,'Appointments'!$B:$B,$B84,'Appointments'!$F:$F,"Done",'Appointments'!$A:$A,"&gt;="&amp;$C84,'Appointments'!$A:$A,"&lt;="&amp;$D84,'Appointments'!$G:$G,"&lt;&gt;Yes"))</f>
        <v/>
      </c>
      <c r="G84" s="33" t="n"/>
      <c r="H84" s="33" t="n"/>
    </row>
    <row r="85">
      <c r="C85" s="33" t="n"/>
      <c r="D85" s="33" t="n"/>
      <c r="E85" s="34">
        <f>IF(OR($B85="",$C85="",$D85=""),"",SUMIFS('Appointments'!$E:$E,'Appointments'!$B:$B,$B85,'Appointments'!$F:$F,"Done",'Appointments'!$A:$A,"&gt;="&amp;$C85,'Appointments'!$A:$A,"&lt;="&amp;$D85))</f>
        <v/>
      </c>
      <c r="F85" s="34">
        <f>IF(OR($B85="",$C85="",$D85=""),"",SUMIFS('Appointments'!$E:$E,'Appointments'!$B:$B,$B85,'Appointments'!$F:$F,"Done",'Appointments'!$A:$A,"&gt;="&amp;$C85,'Appointments'!$A:$A,"&lt;="&amp;$D85,'Appointments'!$G:$G,"&lt;&gt;Yes"))</f>
        <v/>
      </c>
      <c r="G85" s="33" t="n"/>
      <c r="H85" s="33" t="n"/>
    </row>
    <row r="86">
      <c r="C86" s="33" t="n"/>
      <c r="D86" s="33" t="n"/>
      <c r="E86" s="34">
        <f>IF(OR($B86="",$C86="",$D86=""),"",SUMIFS('Appointments'!$E:$E,'Appointments'!$B:$B,$B86,'Appointments'!$F:$F,"Done",'Appointments'!$A:$A,"&gt;="&amp;$C86,'Appointments'!$A:$A,"&lt;="&amp;$D86))</f>
        <v/>
      </c>
      <c r="F86" s="34">
        <f>IF(OR($B86="",$C86="",$D86=""),"",SUMIFS('Appointments'!$E:$E,'Appointments'!$B:$B,$B86,'Appointments'!$F:$F,"Done",'Appointments'!$A:$A,"&gt;="&amp;$C86,'Appointments'!$A:$A,"&lt;="&amp;$D86,'Appointments'!$G:$G,"&lt;&gt;Yes"))</f>
        <v/>
      </c>
      <c r="G86" s="33" t="n"/>
      <c r="H86" s="33" t="n"/>
    </row>
    <row r="87">
      <c r="C87" s="33" t="n"/>
      <c r="D87" s="33" t="n"/>
      <c r="E87" s="34">
        <f>IF(OR($B87="",$C87="",$D87=""),"",SUMIFS('Appointments'!$E:$E,'Appointments'!$B:$B,$B87,'Appointments'!$F:$F,"Done",'Appointments'!$A:$A,"&gt;="&amp;$C87,'Appointments'!$A:$A,"&lt;="&amp;$D87))</f>
        <v/>
      </c>
      <c r="F87" s="34">
        <f>IF(OR($B87="",$C87="",$D87=""),"",SUMIFS('Appointments'!$E:$E,'Appointments'!$B:$B,$B87,'Appointments'!$F:$F,"Done",'Appointments'!$A:$A,"&gt;="&amp;$C87,'Appointments'!$A:$A,"&lt;="&amp;$D87,'Appointments'!$G:$G,"&lt;&gt;Yes"))</f>
        <v/>
      </c>
      <c r="G87" s="33" t="n"/>
      <c r="H87" s="33" t="n"/>
    </row>
    <row r="88">
      <c r="C88" s="33" t="n"/>
      <c r="D88" s="33" t="n"/>
      <c r="E88" s="34">
        <f>IF(OR($B88="",$C88="",$D88=""),"",SUMIFS('Appointments'!$E:$E,'Appointments'!$B:$B,$B88,'Appointments'!$F:$F,"Done",'Appointments'!$A:$A,"&gt;="&amp;$C88,'Appointments'!$A:$A,"&lt;="&amp;$D88))</f>
        <v/>
      </c>
      <c r="F88" s="34">
        <f>IF(OR($B88="",$C88="",$D88=""),"",SUMIFS('Appointments'!$E:$E,'Appointments'!$B:$B,$B88,'Appointments'!$F:$F,"Done",'Appointments'!$A:$A,"&gt;="&amp;$C88,'Appointments'!$A:$A,"&lt;="&amp;$D88,'Appointments'!$G:$G,"&lt;&gt;Yes"))</f>
        <v/>
      </c>
      <c r="G88" s="33" t="n"/>
      <c r="H88" s="33" t="n"/>
    </row>
    <row r="89">
      <c r="C89" s="33" t="n"/>
      <c r="D89" s="33" t="n"/>
      <c r="E89" s="34">
        <f>IF(OR($B89="",$C89="",$D89=""),"",SUMIFS('Appointments'!$E:$E,'Appointments'!$B:$B,$B89,'Appointments'!$F:$F,"Done",'Appointments'!$A:$A,"&gt;="&amp;$C89,'Appointments'!$A:$A,"&lt;="&amp;$D89))</f>
        <v/>
      </c>
      <c r="F89" s="34">
        <f>IF(OR($B89="",$C89="",$D89=""),"",SUMIFS('Appointments'!$E:$E,'Appointments'!$B:$B,$B89,'Appointments'!$F:$F,"Done",'Appointments'!$A:$A,"&gt;="&amp;$C89,'Appointments'!$A:$A,"&lt;="&amp;$D89,'Appointments'!$G:$G,"&lt;&gt;Yes"))</f>
        <v/>
      </c>
      <c r="G89" s="33" t="n"/>
      <c r="H89" s="33" t="n"/>
    </row>
    <row r="90">
      <c r="C90" s="33" t="n"/>
      <c r="D90" s="33" t="n"/>
      <c r="E90" s="34">
        <f>IF(OR($B90="",$C90="",$D90=""),"",SUMIFS('Appointments'!$E:$E,'Appointments'!$B:$B,$B90,'Appointments'!$F:$F,"Done",'Appointments'!$A:$A,"&gt;="&amp;$C90,'Appointments'!$A:$A,"&lt;="&amp;$D90))</f>
        <v/>
      </c>
      <c r="F90" s="34">
        <f>IF(OR($B90="",$C90="",$D90=""),"",SUMIFS('Appointments'!$E:$E,'Appointments'!$B:$B,$B90,'Appointments'!$F:$F,"Done",'Appointments'!$A:$A,"&gt;="&amp;$C90,'Appointments'!$A:$A,"&lt;="&amp;$D90,'Appointments'!$G:$G,"&lt;&gt;Yes"))</f>
        <v/>
      </c>
      <c r="G90" s="33" t="n"/>
      <c r="H90" s="33" t="n"/>
    </row>
    <row r="91">
      <c r="C91" s="33" t="n"/>
      <c r="D91" s="33" t="n"/>
      <c r="E91" s="34">
        <f>IF(OR($B91="",$C91="",$D91=""),"",SUMIFS('Appointments'!$E:$E,'Appointments'!$B:$B,$B91,'Appointments'!$F:$F,"Done",'Appointments'!$A:$A,"&gt;="&amp;$C91,'Appointments'!$A:$A,"&lt;="&amp;$D91))</f>
        <v/>
      </c>
      <c r="F91" s="34">
        <f>IF(OR($B91="",$C91="",$D91=""),"",SUMIFS('Appointments'!$E:$E,'Appointments'!$B:$B,$B91,'Appointments'!$F:$F,"Done",'Appointments'!$A:$A,"&gt;="&amp;$C91,'Appointments'!$A:$A,"&lt;="&amp;$D91,'Appointments'!$G:$G,"&lt;&gt;Yes"))</f>
        <v/>
      </c>
      <c r="G91" s="33" t="n"/>
      <c r="H91" s="33" t="n"/>
    </row>
    <row r="92">
      <c r="C92" s="33" t="n"/>
      <c r="D92" s="33" t="n"/>
      <c r="E92" s="34">
        <f>IF(OR($B92="",$C92="",$D92=""),"",SUMIFS('Appointments'!$E:$E,'Appointments'!$B:$B,$B92,'Appointments'!$F:$F,"Done",'Appointments'!$A:$A,"&gt;="&amp;$C92,'Appointments'!$A:$A,"&lt;="&amp;$D92))</f>
        <v/>
      </c>
      <c r="F92" s="34">
        <f>IF(OR($B92="",$C92="",$D92=""),"",SUMIFS('Appointments'!$E:$E,'Appointments'!$B:$B,$B92,'Appointments'!$F:$F,"Done",'Appointments'!$A:$A,"&gt;="&amp;$C92,'Appointments'!$A:$A,"&lt;="&amp;$D92,'Appointments'!$G:$G,"&lt;&gt;Yes"))</f>
        <v/>
      </c>
      <c r="G92" s="33" t="n"/>
      <c r="H92" s="33" t="n"/>
    </row>
    <row r="93">
      <c r="C93" s="33" t="n"/>
      <c r="D93" s="33" t="n"/>
      <c r="E93" s="34">
        <f>IF(OR($B93="",$C93="",$D93=""),"",SUMIFS('Appointments'!$E:$E,'Appointments'!$B:$B,$B93,'Appointments'!$F:$F,"Done",'Appointments'!$A:$A,"&gt;="&amp;$C93,'Appointments'!$A:$A,"&lt;="&amp;$D93))</f>
        <v/>
      </c>
      <c r="F93" s="34">
        <f>IF(OR($B93="",$C93="",$D93=""),"",SUMIFS('Appointments'!$E:$E,'Appointments'!$B:$B,$B93,'Appointments'!$F:$F,"Done",'Appointments'!$A:$A,"&gt;="&amp;$C93,'Appointments'!$A:$A,"&lt;="&amp;$D93,'Appointments'!$G:$G,"&lt;&gt;Yes"))</f>
        <v/>
      </c>
      <c r="G93" s="33" t="n"/>
      <c r="H93" s="33" t="n"/>
    </row>
    <row r="94">
      <c r="C94" s="33" t="n"/>
      <c r="D94" s="33" t="n"/>
      <c r="E94" s="34">
        <f>IF(OR($B94="",$C94="",$D94=""),"",SUMIFS('Appointments'!$E:$E,'Appointments'!$B:$B,$B94,'Appointments'!$F:$F,"Done",'Appointments'!$A:$A,"&gt;="&amp;$C94,'Appointments'!$A:$A,"&lt;="&amp;$D94))</f>
        <v/>
      </c>
      <c r="F94" s="34">
        <f>IF(OR($B94="",$C94="",$D94=""),"",SUMIFS('Appointments'!$E:$E,'Appointments'!$B:$B,$B94,'Appointments'!$F:$F,"Done",'Appointments'!$A:$A,"&gt;="&amp;$C94,'Appointments'!$A:$A,"&lt;="&amp;$D94,'Appointments'!$G:$G,"&lt;&gt;Yes"))</f>
        <v/>
      </c>
      <c r="G94" s="33" t="n"/>
      <c r="H94" s="33" t="n"/>
    </row>
    <row r="95">
      <c r="C95" s="33" t="n"/>
      <c r="D95" s="33" t="n"/>
      <c r="E95" s="34">
        <f>IF(OR($B95="",$C95="",$D95=""),"",SUMIFS('Appointments'!$E:$E,'Appointments'!$B:$B,$B95,'Appointments'!$F:$F,"Done",'Appointments'!$A:$A,"&gt;="&amp;$C95,'Appointments'!$A:$A,"&lt;="&amp;$D95))</f>
        <v/>
      </c>
      <c r="F95" s="34">
        <f>IF(OR($B95="",$C95="",$D95=""),"",SUMIFS('Appointments'!$E:$E,'Appointments'!$B:$B,$B95,'Appointments'!$F:$F,"Done",'Appointments'!$A:$A,"&gt;="&amp;$C95,'Appointments'!$A:$A,"&lt;="&amp;$D95,'Appointments'!$G:$G,"&lt;&gt;Yes"))</f>
        <v/>
      </c>
      <c r="G95" s="33" t="n"/>
      <c r="H95" s="33" t="n"/>
    </row>
    <row r="96">
      <c r="C96" s="33" t="n"/>
      <c r="D96" s="33" t="n"/>
      <c r="E96" s="34">
        <f>IF(OR($B96="",$C96="",$D96=""),"",SUMIFS('Appointments'!$E:$E,'Appointments'!$B:$B,$B96,'Appointments'!$F:$F,"Done",'Appointments'!$A:$A,"&gt;="&amp;$C96,'Appointments'!$A:$A,"&lt;="&amp;$D96))</f>
        <v/>
      </c>
      <c r="F96" s="34">
        <f>IF(OR($B96="",$C96="",$D96=""),"",SUMIFS('Appointments'!$E:$E,'Appointments'!$B:$B,$B96,'Appointments'!$F:$F,"Done",'Appointments'!$A:$A,"&gt;="&amp;$C96,'Appointments'!$A:$A,"&lt;="&amp;$D96,'Appointments'!$G:$G,"&lt;&gt;Yes"))</f>
        <v/>
      </c>
      <c r="G96" s="33" t="n"/>
      <c r="H96" s="33" t="n"/>
    </row>
    <row r="97">
      <c r="C97" s="33" t="n"/>
      <c r="D97" s="33" t="n"/>
      <c r="E97" s="34">
        <f>IF(OR($B97="",$C97="",$D97=""),"",SUMIFS('Appointments'!$E:$E,'Appointments'!$B:$B,$B97,'Appointments'!$F:$F,"Done",'Appointments'!$A:$A,"&gt;="&amp;$C97,'Appointments'!$A:$A,"&lt;="&amp;$D97))</f>
        <v/>
      </c>
      <c r="F97" s="34">
        <f>IF(OR($B97="",$C97="",$D97=""),"",SUMIFS('Appointments'!$E:$E,'Appointments'!$B:$B,$B97,'Appointments'!$F:$F,"Done",'Appointments'!$A:$A,"&gt;="&amp;$C97,'Appointments'!$A:$A,"&lt;="&amp;$D97,'Appointments'!$G:$G,"&lt;&gt;Yes"))</f>
        <v/>
      </c>
      <c r="G97" s="33" t="n"/>
      <c r="H97" s="33" t="n"/>
    </row>
    <row r="98">
      <c r="C98" s="33" t="n"/>
      <c r="D98" s="33" t="n"/>
      <c r="E98" s="34">
        <f>IF(OR($B98="",$C98="",$D98=""),"",SUMIFS('Appointments'!$E:$E,'Appointments'!$B:$B,$B98,'Appointments'!$F:$F,"Done",'Appointments'!$A:$A,"&gt;="&amp;$C98,'Appointments'!$A:$A,"&lt;="&amp;$D98))</f>
        <v/>
      </c>
      <c r="F98" s="34">
        <f>IF(OR($B98="",$C98="",$D98=""),"",SUMIFS('Appointments'!$E:$E,'Appointments'!$B:$B,$B98,'Appointments'!$F:$F,"Done",'Appointments'!$A:$A,"&gt;="&amp;$C98,'Appointments'!$A:$A,"&lt;="&amp;$D98,'Appointments'!$G:$G,"&lt;&gt;Yes"))</f>
        <v/>
      </c>
      <c r="G98" s="33" t="n"/>
      <c r="H98" s="33" t="n"/>
    </row>
    <row r="99">
      <c r="C99" s="33" t="n"/>
      <c r="D99" s="33" t="n"/>
      <c r="E99" s="34">
        <f>IF(OR($B99="",$C99="",$D99=""),"",SUMIFS('Appointments'!$E:$E,'Appointments'!$B:$B,$B99,'Appointments'!$F:$F,"Done",'Appointments'!$A:$A,"&gt;="&amp;$C99,'Appointments'!$A:$A,"&lt;="&amp;$D99))</f>
        <v/>
      </c>
      <c r="F99" s="34">
        <f>IF(OR($B99="",$C99="",$D99=""),"",SUMIFS('Appointments'!$E:$E,'Appointments'!$B:$B,$B99,'Appointments'!$F:$F,"Done",'Appointments'!$A:$A,"&gt;="&amp;$C99,'Appointments'!$A:$A,"&lt;="&amp;$D99,'Appointments'!$G:$G,"&lt;&gt;Yes"))</f>
        <v/>
      </c>
      <c r="G99" s="33" t="n"/>
      <c r="H99" s="33" t="n"/>
    </row>
    <row r="100">
      <c r="C100" s="33" t="n"/>
      <c r="D100" s="33" t="n"/>
      <c r="E100" s="34">
        <f>IF(OR($B100="",$C100="",$D100=""),"",SUMIFS('Appointments'!$E:$E,'Appointments'!$B:$B,$B100,'Appointments'!$F:$F,"Done",'Appointments'!$A:$A,"&gt;="&amp;$C100,'Appointments'!$A:$A,"&lt;="&amp;$D100))</f>
        <v/>
      </c>
      <c r="F100" s="34">
        <f>IF(OR($B100="",$C100="",$D100=""),"",SUMIFS('Appointments'!$E:$E,'Appointments'!$B:$B,$B100,'Appointments'!$F:$F,"Done",'Appointments'!$A:$A,"&gt;="&amp;$C100,'Appointments'!$A:$A,"&lt;="&amp;$D100,'Appointments'!$G:$G,"&lt;&gt;Yes"))</f>
        <v/>
      </c>
      <c r="G100" s="33" t="n"/>
      <c r="H100" s="33" t="n"/>
    </row>
  </sheetData>
  <conditionalFormatting sqref="A2:J100">
    <cfRule type="expression" priority="1" dxfId="2" stopIfTrue="1">
      <formula>$I2="Overdue"</formula>
    </cfRule>
    <cfRule type="expression" priority="2" dxfId="4" stopIfTrue="1">
      <formula>$I2="Paid"</formula>
    </cfRule>
    <cfRule type="expression" priority="3" dxfId="5" stopIfTrue="1">
      <formula>$I2="Sent"</formula>
    </cfRule>
  </conditionalFormatting>
  <dataValidations count="2">
    <dataValidation sqref="B2:B100" showDropDown="0" showInputMessage="0" showErrorMessage="0" allowBlank="1" type="list">
      <formula1>ClientList</formula1>
    </dataValidation>
    <dataValidation sqref="I2:I100" showDropDown="0" showInputMessage="0" showErrorMessage="0" allowBlank="1" type="list">
      <formula1>"Draft,Sent,Paid,Overdue"</formula1>
    </dataValidation>
  </dataValidations>
  <pageMargins left="0.75" right="0.75" top="1" bottom="1" header="0.5" footer="0.5"/>
</worksheet>
</file>

<file path=xl/worksheets/sheet7.xml><?xml version="1.0" encoding="utf-8"?>
<worksheet xmlns="http://schemas.openxmlformats.org/spreadsheetml/2006/main">
  <sheetPr>
    <tabColor rgb="009D6B7B"/>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44" customWidth="1" min="4" max="4"/>
  </cols>
  <sheetData>
    <row r="1" ht="26" customHeight="1">
      <c r="A1" s="28" t="inlineStr">
        <is>
          <t>Service</t>
        </is>
      </c>
      <c r="B1" s="28" t="inlineStr">
        <is>
          <t>Rate ($)</t>
        </is>
      </c>
      <c r="C1" s="28" t="inlineStr">
        <is>
          <t>Duration</t>
        </is>
      </c>
      <c r="D1" s="28" t="inlineStr">
        <is>
          <t>Notes</t>
        </is>
      </c>
    </row>
    <row r="2">
      <c r="A2" s="36" t="inlineStr">
        <is>
          <t>Full Groom — Small</t>
        </is>
      </c>
      <c r="B2" s="37" t="n">
        <v>65</v>
      </c>
      <c r="C2" s="36" t="inlineStr">
        <is>
          <t>90 minutes</t>
        </is>
      </c>
      <c r="D2" s="36" t="inlineStr">
        <is>
          <t>Under 25 lbs. Bath, dry, haircut, nails, ears</t>
        </is>
      </c>
    </row>
    <row r="3">
      <c r="A3" s="36" t="inlineStr">
        <is>
          <t>Full Groom — Medium</t>
        </is>
      </c>
      <c r="B3" s="37" t="n">
        <v>85</v>
      </c>
      <c r="C3" s="36" t="inlineStr">
        <is>
          <t>2 hours</t>
        </is>
      </c>
      <c r="D3" s="36" t="inlineStr">
        <is>
          <t>25–60 lbs. Bath, dry, haircut, nails, ears</t>
        </is>
      </c>
    </row>
    <row r="4">
      <c r="A4" s="36" t="inlineStr">
        <is>
          <t>Full Groom — Large</t>
        </is>
      </c>
      <c r="B4" s="37" t="n">
        <v>110</v>
      </c>
      <c r="C4" s="36" t="inlineStr">
        <is>
          <t>2.5–3 hours</t>
        </is>
      </c>
      <c r="D4" s="36" t="inlineStr">
        <is>
          <t>60+ lbs. Doodles / heavy coats may add a fee</t>
        </is>
      </c>
    </row>
    <row r="5">
      <c r="A5" s="36" t="inlineStr">
        <is>
          <t>Bath &amp; Brush</t>
        </is>
      </c>
      <c r="B5" s="37" t="n">
        <v>45</v>
      </c>
      <c r="C5" s="36" t="inlineStr">
        <is>
          <t>60 minutes</t>
        </is>
      </c>
      <c r="D5" s="36" t="inlineStr">
        <is>
          <t>Bath, blow-dry, brush-out, nails, ears — no haircut</t>
        </is>
      </c>
    </row>
    <row r="6">
      <c r="A6" s="36" t="inlineStr">
        <is>
          <t>Nail Trim</t>
        </is>
      </c>
      <c r="B6" s="37" t="n">
        <v>15</v>
      </c>
      <c r="C6" s="36" t="inlineStr">
        <is>
          <t>15 minutes</t>
        </is>
      </c>
      <c r="D6" s="36" t="inlineStr">
        <is>
          <t>Walk-in friendly; +$5 with Dremel grinding</t>
        </is>
      </c>
    </row>
    <row r="7">
      <c r="A7" s="36" t="inlineStr">
        <is>
          <t>De-shed Treatment</t>
        </is>
      </c>
      <c r="B7" s="37" t="n">
        <v>60</v>
      </c>
      <c r="C7" s="36" t="inlineStr">
        <is>
          <t>90 minutes</t>
        </is>
      </c>
      <c r="D7" s="36" t="inlineStr">
        <is>
          <t>Double coats: undercoat rake + high-velocity dry</t>
        </is>
      </c>
    </row>
    <row r="8">
      <c r="A8" s="36" t="inlineStr">
        <is>
          <t>Puppy Intro Groom</t>
        </is>
      </c>
      <c r="B8" s="37" t="n">
        <v>40</v>
      </c>
      <c r="C8" s="36" t="inlineStr">
        <is>
          <t>45 minutes</t>
        </is>
      </c>
      <c r="D8" s="36" t="inlineStr">
        <is>
          <t>Under 6 months. Face/feet/tail tidy + handling practice</t>
        </is>
      </c>
    </row>
    <row r="9">
      <c r="B9" s="38" t="n"/>
    </row>
    <row r="10">
      <c r="B10" s="38" t="n"/>
    </row>
    <row r="11">
      <c r="B11" s="38" t="n"/>
    </row>
    <row r="12">
      <c r="B12" s="38" t="n"/>
    </row>
    <row r="13">
      <c r="B13" s="38" t="n"/>
    </row>
    <row r="14">
      <c r="B14" s="38" t="n"/>
    </row>
    <row r="15">
      <c r="B15" s="38" t="n"/>
    </row>
    <row r="16">
      <c r="B16" s="38" t="n"/>
    </row>
    <row r="17">
      <c r="B17" s="38" t="n"/>
    </row>
    <row r="18">
      <c r="B18" s="38" t="n"/>
    </row>
    <row r="19">
      <c r="B19" s="38" t="n"/>
    </row>
    <row r="20">
      <c r="B20" s="38" t="n"/>
    </row>
    <row r="21">
      <c r="B21" s="38" t="n"/>
    </row>
    <row r="22">
      <c r="B22" s="38" t="n"/>
    </row>
    <row r="23">
      <c r="B23" s="38" t="n"/>
    </row>
    <row r="24">
      <c r="B24" s="38" t="n"/>
    </row>
    <row r="25">
      <c r="B25" s="38" t="n"/>
    </row>
    <row r="26">
      <c r="B26" s="38" t="n"/>
    </row>
    <row r="27">
      <c r="B27" s="38" t="n"/>
    </row>
    <row r="28">
      <c r="B28" s="38" t="n"/>
    </row>
    <row r="29">
      <c r="B29" s="38" t="n"/>
    </row>
    <row r="30">
      <c r="B30" s="38" t="n"/>
    </row>
    <row r="32">
      <c r="A32" s="39" t="inlineStr">
        <is>
          <t>Edit names and rates freely — the Appointments tab looks prices up from this list automatically. Service names here must match the dropdown picks exactly (they will, if you always pick from the dropdown).</t>
        </is>
      </c>
    </row>
  </sheetData>
  <mergeCells count="1">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2026-07-03T02:13:19Z</dcterms:created>
  <dcterms:modified xsi:type="dcterms:W3CDTF">2026-07-03T02:13:19Z</dcterms:modified>
</cp:coreProperties>
</file>