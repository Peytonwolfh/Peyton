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Clients" sheetId="3" state="visible" r:id="rId3"/>
    <sheet name="Pets" sheetId="4" state="visible" r:id="rId4"/>
    <sheet name="Visit Schedule" sheetId="5" state="visible" r:id="rId5"/>
    <sheet name="Invoices &amp; Payments" sheetId="6" state="visible" r:id="rId6"/>
    <sheet name="Services &amp; Rates" sheetId="7" state="visible" r:id="rId7"/>
  </sheets>
  <definedNames>
    <definedName name="ClientList">'Clients'!$A$2:$A$200</definedName>
    <definedName name="ServiceList">'Services &amp; Rates'!$A$2:$A$30</definedName>
  </definedNames>
  <calcPr calcId="124519" fullCalcOnLoad="1"/>
</workbook>
</file>

<file path=xl/styles.xml><?xml version="1.0" encoding="utf-8"?>
<styleSheet xmlns="http://schemas.openxmlformats.org/spreadsheetml/2006/main">
  <numFmts count="2">
    <numFmt numFmtId="164" formatCode="&quot;$&quot;#,##0.00"/>
    <numFmt numFmtId="165" formatCode="mm/dd/yyyy"/>
  </numFmts>
  <fonts count="15">
    <font>
      <name val="Calibri"/>
      <family val="2"/>
      <color theme="1"/>
      <sz val="11"/>
      <scheme val="minor"/>
    </font>
    <font>
      <b val="1"/>
      <color rgb="00FFFFFF"/>
      <sz val="16"/>
    </font>
    <font>
      <color rgb="002E3436"/>
      <sz val="11"/>
    </font>
    <font>
      <b val="1"/>
      <color rgb="00FFFFFF"/>
      <sz val="12"/>
    </font>
    <font>
      <i val="1"/>
      <color rgb="002E3436"/>
      <sz val="11"/>
    </font>
    <font>
      <i val="1"/>
      <color rgb="006D6D6D"/>
      <sz val="10"/>
    </font>
    <font>
      <b val="1"/>
      <color rgb="00FFFFFF"/>
      <sz val="9"/>
    </font>
    <font>
      <b val="1"/>
      <color rgb="002E3436"/>
      <sz val="22"/>
    </font>
    <font>
      <b val="1"/>
      <color rgb="005C7A5E"/>
      <sz val="10"/>
    </font>
    <font>
      <b val="1"/>
      <color rgb="005C7A5E"/>
      <sz val="11"/>
    </font>
    <font>
      <i val="1"/>
      <color rgb="006D6D6D"/>
      <sz val="8"/>
    </font>
    <font>
      <color rgb="006D6D6D"/>
      <sz val="8"/>
    </font>
    <font>
      <i val="1"/>
      <color rgb="006D6D6D"/>
      <sz val="9"/>
    </font>
    <font>
      <name val="Calibri"/>
      <b val="1"/>
      <color rgb="00FFFFFF"/>
      <sz val="11"/>
    </font>
    <font>
      <name val="Calibri"/>
      <i val="1"/>
      <color rgb="006D6D6D"/>
      <sz val="11"/>
    </font>
  </fonts>
  <fills count="10">
    <fill>
      <patternFill/>
    </fill>
    <fill>
      <patternFill patternType="gray125"/>
    </fill>
    <fill>
      <patternFill patternType="solid">
        <fgColor rgb="002E3436"/>
      </patternFill>
    </fill>
    <fill>
      <patternFill patternType="solid">
        <fgColor rgb="00FBFAF7"/>
      </patternFill>
    </fill>
    <fill>
      <patternFill patternType="solid">
        <fgColor rgb="005C7A5E"/>
      </patternFill>
    </fill>
    <fill>
      <patternFill patternType="solid">
        <fgColor rgb="00F1F1EC"/>
      </patternFill>
    </fill>
    <fill>
      <patternFill patternType="solid">
        <fgColor rgb="00E3ECE0"/>
      </patternFill>
    </fill>
    <fill>
      <patternFill patternType="solid">
        <fgColor rgb="003B4245"/>
      </patternFill>
    </fill>
    <fill>
      <patternFill patternType="solid">
        <fgColor rgb="00F2F6F0"/>
      </patternFill>
    </fill>
    <fill>
      <patternFill patternType="solid">
        <fgColor rgb="00FFFFFF"/>
      </patternFill>
    </fill>
  </fills>
  <borders count="2">
    <border>
      <left/>
      <right/>
      <top/>
      <bottom/>
      <diagonal/>
    </border>
    <border>
      <left style="thin">
        <color rgb="00D8DDD6"/>
      </left>
      <right style="thin">
        <color rgb="00D8DDD6"/>
      </right>
      <top style="thin">
        <color rgb="00D8DDD6"/>
      </top>
      <bottom style="thin">
        <color rgb="00D8DDD6"/>
      </bottom>
    </border>
  </borders>
  <cellStyleXfs count="1">
    <xf numFmtId="0" fontId="0" fillId="0" borderId="0"/>
  </cellStyleXfs>
  <cellXfs count="38">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top" wrapText="1" indent="1"/>
    </xf>
    <xf numFmtId="0" fontId="3" fillId="4" borderId="0" applyAlignment="1" pivotButton="0" quotePrefix="0" xfId="0">
      <alignment vertical="center" indent="1"/>
    </xf>
    <xf numFmtId="0" fontId="2" fillId="5" borderId="0" applyAlignment="1" pivotButton="0" quotePrefix="0" xfId="0">
      <alignment vertical="top" wrapText="1" indent="1"/>
    </xf>
    <xf numFmtId="0" fontId="4" fillId="3" borderId="0" applyAlignment="1" pivotButton="0" quotePrefix="0" xfId="0">
      <alignment vertical="top" wrapText="1" indent="1"/>
    </xf>
    <xf numFmtId="0" fontId="1" fillId="2" borderId="0" applyAlignment="1" pivotButton="0" quotePrefix="0" xfId="0">
      <alignment horizontal="center" vertical="center"/>
    </xf>
    <xf numFmtId="0" fontId="0" fillId="2" borderId="0" pivotButton="0" quotePrefix="0" xfId="0"/>
    <xf numFmtId="0" fontId="5" fillId="0" borderId="0" pivotButton="0" quotePrefix="0" xfId="0"/>
    <xf numFmtId="0" fontId="6" fillId="4" borderId="0" applyAlignment="1" pivotButton="0" quotePrefix="0" xfId="0">
      <alignment horizontal="center" vertical="center"/>
    </xf>
    <xf numFmtId="0" fontId="0" fillId="4" borderId="0" pivotButton="0" quotePrefix="0" xfId="0"/>
    <xf numFmtId="1" fontId="7" fillId="6" borderId="0" applyAlignment="1" pivotButton="0" quotePrefix="0" xfId="0">
      <alignment horizontal="center" vertical="center"/>
    </xf>
    <xf numFmtId="0" fontId="0" fillId="6" borderId="0" pivotButton="0" quotePrefix="0" xfId="0"/>
    <xf numFmtId="164" fontId="7" fillId="6" borderId="0" applyAlignment="1" pivotButton="0" quotePrefix="0" xfId="0">
      <alignment horizontal="center" vertical="center"/>
    </xf>
    <xf numFmtId="0" fontId="3" fillId="7" borderId="0" applyAlignment="1" pivotButton="0" quotePrefix="0" xfId="0">
      <alignment horizontal="left" vertical="center" indent="1"/>
    </xf>
    <xf numFmtId="0" fontId="0" fillId="7" borderId="0" pivotButton="0" quotePrefix="0" xfId="0"/>
    <xf numFmtId="0" fontId="8" fillId="8" borderId="0" pivotButton="0" quotePrefix="0" xfId="0"/>
    <xf numFmtId="0" fontId="10" fillId="0" borderId="0" pivotButton="0" quotePrefix="0" xfId="0"/>
    <xf numFmtId="0" fontId="0" fillId="8" borderId="0" applyAlignment="1" pivotButton="0" quotePrefix="0" xfId="0">
      <alignment horizontal="center"/>
    </xf>
    <xf numFmtId="0" fontId="2" fillId="8" borderId="0" pivotButton="0" quotePrefix="0" xfId="0"/>
    <xf numFmtId="0" fontId="0" fillId="8" borderId="0" pivotButton="0" quotePrefix="0" xfId="0"/>
    <xf numFmtId="164" fontId="9" fillId="8" borderId="0" pivotButton="0" quotePrefix="0" xfId="0"/>
    <xf numFmtId="0" fontId="11" fillId="0" borderId="0" pivotButton="0" quotePrefix="0" xfId="0"/>
    <xf numFmtId="0" fontId="0" fillId="9" borderId="0" applyAlignment="1" pivotButton="0" quotePrefix="0" xfId="0">
      <alignment horizontal="center"/>
    </xf>
    <xf numFmtId="0" fontId="2" fillId="9" borderId="0" pivotButton="0" quotePrefix="0" xfId="0"/>
    <xf numFmtId="0" fontId="0" fillId="9" borderId="0" pivotButton="0" quotePrefix="0" xfId="0"/>
    <xf numFmtId="164" fontId="9" fillId="9" borderId="0" pivotButton="0" quotePrefix="0" xfId="0"/>
    <xf numFmtId="0" fontId="12" fillId="0" borderId="0" pivotButton="0" quotePrefix="0" xfId="0"/>
    <xf numFmtId="0" fontId="13" fillId="7" borderId="0" applyAlignment="1" pivotButton="0" quotePrefix="0" xfId="0">
      <alignment horizontal="center" vertical="center" wrapText="1"/>
    </xf>
    <xf numFmtId="0" fontId="14" fillId="0" borderId="0" pivotButton="0" quotePrefix="0" xfId="0"/>
    <xf numFmtId="165" fontId="14" fillId="0" borderId="0" pivotButton="0" quotePrefix="0" xfId="0"/>
    <xf numFmtId="164" fontId="14" fillId="5" borderId="0" pivotButton="0" quotePrefix="0" xfId="0"/>
    <xf numFmtId="165" fontId="0" fillId="0" borderId="0" pivotButton="0" quotePrefix="0" xfId="0"/>
    <xf numFmtId="164" fontId="0" fillId="5" borderId="0" pivotButton="0" quotePrefix="0" xfId="0"/>
    <xf numFmtId="0" fontId="0" fillId="0" borderId="1" pivotButton="0" quotePrefix="0" xfId="0"/>
    <xf numFmtId="164" fontId="0" fillId="0" borderId="1" pivotButton="0" quotePrefix="0" xfId="0"/>
    <xf numFmtId="164" fontId="0" fillId="0" borderId="0" pivotButton="0" quotePrefix="0" xfId="0"/>
    <xf numFmtId="0" fontId="5" fillId="0" borderId="0" applyAlignment="1" pivotButton="0" quotePrefix="0" xfId="0">
      <alignment vertical="top" wrapText="1"/>
    </xf>
  </cellXfs>
  <cellStyles count="1">
    <cellStyle name="Normal" xfId="0" builtinId="0" hidden="0"/>
  </cellStyles>
  <dxfs count="6">
    <dxf>
      <font>
        <b val="1"/>
        <color rgb="003E6B47"/>
      </font>
      <fill>
        <patternFill patternType="solid">
          <fgColor rgb="00DDEBD8"/>
        </patternFill>
      </fill>
    </dxf>
    <dxf>
      <font>
        <b val="1"/>
        <color rgb="008A6116"/>
      </font>
      <fill>
        <patternFill patternType="solid">
          <fgColor rgb="00FBEFD0"/>
        </patternFill>
      </fill>
    </dxf>
    <dxf>
      <font>
        <color rgb="009C2B23"/>
      </font>
      <fill>
        <patternFill patternType="solid">
          <fgColor rgb="00F6D9D5"/>
        </patternFill>
      </fill>
    </dxf>
    <dxf>
      <font>
        <b val="1"/>
        <color rgb="002E3436"/>
      </font>
      <fill>
        <patternFill patternType="solid">
          <fgColor rgb="00E3ECE0"/>
        </patternFill>
      </fill>
    </dxf>
    <dxf>
      <font>
        <color rgb="003E6B47"/>
      </font>
      <fill>
        <patternFill patternType="solid">
          <fgColor rgb="00DDEBD8"/>
        </patternFill>
      </fill>
    </dxf>
    <dxf>
      <font>
        <color rgb="008A6116"/>
      </font>
      <fill>
        <patternFill patternType="solid">
          <fgColor rgb="00FBEF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C7A5E"/>
    <outlinePr summaryBelow="1" summaryRight="1"/>
    <pageSetUpPr/>
  </sheetPr>
  <dimension ref="B2:B30"/>
  <sheetViews>
    <sheetView showGridLines="0" workbookViewId="0">
      <selection activeCell="A1" sqref="A1"/>
    </sheetView>
  </sheetViews>
  <sheetFormatPr baseColWidth="8" defaultRowHeight="15"/>
  <cols>
    <col width="3" customWidth="1" min="1" max="1"/>
    <col width="100" customWidth="1" min="2" max="2"/>
    <col width="3" customWidth="1" min="3" max="3"/>
  </cols>
  <sheetData>
    <row r="2" ht="34" customHeight="1">
      <c r="B2" s="1" t="inlineStr">
        <is>
          <t>WELCOME TO YOUR PET SITTER CLIENT CRM</t>
        </is>
      </c>
    </row>
    <row r="3" ht="44" customHeight="1">
      <c r="B3" s="2" t="inlineStr">
        <is>
          <t>Made for pet sitters and dog walkers. Everything your business needs — clients, door codes, vet info, medications, schedule and money — in one place. No apps, no subscriptions, nothing to install.</t>
        </is>
      </c>
    </row>
    <row r="5" ht="24" customHeight="1">
      <c r="B5" s="3" t="inlineStr">
        <is>
          <t>STEP 1 — MAKE YOUR OWN COPY (do this first!)</t>
        </is>
      </c>
    </row>
    <row r="6" ht="58" customHeight="1">
      <c r="B6" s="2" t="inlineStr">
        <is>
          <t>USING GOOGLE SHEETS (free):  1. Go to sheets.google.com and sign in.  2. Click the folder icon (Open file picker), choose "Upload", and drop this file in.  3. It opens right in Google Sheets — then click File &gt; Save as Google Sheets so it lives in your Drive forever.</t>
        </is>
      </c>
    </row>
    <row r="7" ht="28" customHeight="1">
      <c r="B7" s="2" t="inlineStr">
        <is>
          <t>USING EXCEL:  just open the file and File &gt; Save As with your business name. Done.</t>
        </is>
      </c>
    </row>
    <row r="9" ht="24" customHeight="1">
      <c r="B9" s="3" t="inlineStr">
        <is>
          <t>STEP 2 — KNOW YOUR COLORS</t>
        </is>
      </c>
    </row>
    <row r="10" ht="20" customHeight="1">
      <c r="B10" s="2" t="inlineStr">
        <is>
          <t>WHITE cells = yours. Type anything.</t>
        </is>
      </c>
    </row>
    <row r="11" ht="44" customHeight="1">
      <c r="B11" s="4" t="inlineStr">
        <is>
          <t>LIGHT GRAY cells = the spreadsheet's. They calculate themselves (rates, totals, the whole Dashboard). Don't type in them — if you ever do by accident, just press Ctrl+Z (Cmd+Z on Mac).</t>
        </is>
      </c>
    </row>
    <row r="12" ht="30" customHeight="1">
      <c r="B12" s="2" t="inlineStr">
        <is>
          <t>Cells with a little arrow = dropdowns. Click the arrow and pick — never type these by hand, so names always match everywhere.</t>
        </is>
      </c>
    </row>
    <row r="14" ht="24" customHeight="1">
      <c r="B14" s="3" t="inlineStr">
        <is>
          <t>STEP 3 — SET UP IN THIS ORDER</t>
        </is>
      </c>
    </row>
    <row r="15" ht="30" customHeight="1">
      <c r="B15" s="2" t="inlineStr">
        <is>
          <t>1. SERVICES &amp; RATES — change the service names and prices to yours. The schedule fills in prices from this list automatically.</t>
        </is>
      </c>
    </row>
    <row r="16" ht="44" customHeight="1">
      <c r="B16" s="2" t="inlineStr">
        <is>
          <t>2. CLIENTS — one row per household. Door codes, alarm notes, key location, vet and emergency contact all live here, so everything you need mid-visit is one tap away on your phone.</t>
        </is>
      </c>
    </row>
    <row r="17" ht="44" customHeight="1">
      <c r="B17" s="2" t="inlineStr">
        <is>
          <t>3. PETS — one row per pet. Pick the owner from the dropdown. Tip: type the word CAUTION anywhere in "Behavior Notes" and the whole row turns red — impossible to miss before a visit.</t>
        </is>
      </c>
    </row>
    <row r="18" ht="58" customHeight="1">
      <c r="B18" s="2" t="inlineStr">
        <is>
          <t>4. VISIT SCHEDULE — one row per visit. Pick client and service from dropdowns; the rate appears by itself. Mark Status = Done when finished and Paid? = Yes when the money arrives. Today's visits glow green; finished-but-unpaid visits turn red.</t>
        </is>
      </c>
    </row>
    <row r="19" ht="44" customHeight="1">
      <c r="B19" s="2" t="inlineStr">
        <is>
          <t>5. INVOICES &amp; PAYMENTS — type an invoice number, pick the client, and type the period start and end dates. The totals add themselves up from the Visit Schedule (completed visits in that period; Balance Due counts only the unpaid ones).</t>
        </is>
      </c>
    </row>
    <row r="21" ht="24" customHeight="1">
      <c r="B21" s="3" t="inlineStr">
        <is>
          <t>THE SAMPLE ROWS</t>
        </is>
      </c>
    </row>
    <row r="22" ht="58" customHeight="1">
      <c r="B22" s="2" t="inlineStr">
        <is>
          <t>The gray italic rows (Sarah Mitchell, Dana Whitfield, Marcus Lee...) are examples so you can see how everything works. When you're ready: click the row number on the left, drag to select the sample rows, right-click, and choose "Delete rows". The formulas and dropdowns stay — only the example text goes.</t>
        </is>
      </c>
    </row>
    <row r="24" ht="24" customHeight="1">
      <c r="B24" s="3" t="inlineStr">
        <is>
          <t>ADDING MORE ROWS LATER</t>
        </is>
      </c>
    </row>
    <row r="25" ht="58" customHeight="1">
      <c r="B25" s="2" t="inlineStr">
        <is>
          <t>Formulas and dropdowns are already loaded far down each tab (Visit Schedule to row 250, Invoices to row 100, Clients to row 200). Just keep typing on the next empty line. If you ever fill a tab completely: select the last row, copy it, and paste it into the rows below — that carries the formulas down too.</t>
        </is>
      </c>
    </row>
    <row r="27" ht="24" customHeight="1">
      <c r="B27" s="3" t="inlineStr">
        <is>
          <t>THE DASHBOARD</t>
        </is>
      </c>
    </row>
    <row r="28" ht="44" customHeight="1">
      <c r="B28" s="2" t="inlineStr">
        <is>
          <t>100% automatic. Active clients, pets under care, this week's visits, unpaid balance, this month's revenue and your top clients — it all updates the moment you edit the other tabs.</t>
        </is>
      </c>
    </row>
    <row r="30">
      <c r="B30" s="5" t="inlineStr">
        <is>
          <t xml:space="preserve">Questions? Message me on Etsy any time — happy to help.  Enjoy! </t>
        </is>
      </c>
    </row>
  </sheetData>
  <pageMargins left="0.75" right="0.75" top="1" bottom="1" header="0.5" footer="0.5"/>
</worksheet>
</file>

<file path=xl/worksheets/sheet2.xml><?xml version="1.0" encoding="utf-8"?>
<worksheet xmlns="http://schemas.openxmlformats.org/spreadsheetml/2006/main">
  <sheetPr>
    <tabColor rgb="002E3436"/>
    <outlinePr summaryBelow="1" summaryRight="1"/>
    <pageSetUpPr/>
  </sheetPr>
  <dimension ref="B2:P33"/>
  <sheetViews>
    <sheetView showGridLines="0" workbookViewId="0">
      <selection activeCell="A1" sqref="A1"/>
    </sheetView>
  </sheetViews>
  <sheetFormatPr baseColWidth="8" defaultRowHeight="15"/>
  <cols>
    <col width="2" customWidth="1" min="1" max="1"/>
    <col width="13" customWidth="1" min="2" max="2"/>
    <col width="13" customWidth="1" min="3" max="3"/>
    <col width="2" customWidth="1" min="4" max="4"/>
    <col width="13" customWidth="1" min="5" max="5"/>
    <col width="13" customWidth="1" min="6" max="6"/>
    <col width="2" customWidth="1" min="7" max="7"/>
    <col width="13" customWidth="1" min="8" max="8"/>
    <col width="13" customWidth="1" min="9" max="9"/>
    <col width="2" customWidth="1" min="10" max="10"/>
    <col hidden="1" width="12" customWidth="1" min="15" max="15"/>
    <col hidden="1" width="18" customWidth="1" min="16" max="16"/>
  </cols>
  <sheetData>
    <row r="2" ht="30" customHeight="1">
      <c r="B2" s="6" t="inlineStr">
        <is>
          <t>PET SITTER CLIENT CRM  —  DASHBOARD</t>
        </is>
      </c>
      <c r="C2" s="7" t="n"/>
      <c r="D2" s="7" t="n"/>
      <c r="E2" s="7" t="n"/>
      <c r="F2" s="7" t="n"/>
      <c r="G2" s="7" t="n"/>
      <c r="H2" s="7" t="n"/>
      <c r="I2" s="7" t="n"/>
    </row>
    <row r="3">
      <c r="B3" s="8">
        <f>"Everything on this page updates itself — nothing to type here.  Today: "&amp;TEXT(TODAY(),"mmm d, yyyy")</f>
        <v/>
      </c>
    </row>
    <row r="5">
      <c r="B5" s="9" t="inlineStr">
        <is>
          <t>ACTIVE CLIENTS</t>
        </is>
      </c>
      <c r="C5" s="10" t="n"/>
      <c r="E5" s="9" t="inlineStr">
        <is>
          <t>PETS UNDER CARE</t>
        </is>
      </c>
      <c r="F5" s="10" t="n"/>
      <c r="H5" s="9" t="inlineStr">
        <is>
          <t>VISITS THIS WEEK</t>
        </is>
      </c>
      <c r="I5" s="10" t="n"/>
    </row>
    <row r="6" ht="40" customHeight="1">
      <c r="B6" s="11">
        <f>COUNTIF('Clients'!$L:$L,"Active")</f>
        <v/>
      </c>
      <c r="C6" s="12" t="n"/>
      <c r="E6" s="11">
        <f>COUNTA('Pets'!$B$2:$B$300)</f>
        <v/>
      </c>
      <c r="F6" s="12" t="n"/>
      <c r="H6" s="11">
        <f>COUNTIFS('Visit Schedule'!$A:$A,"&gt;="&amp;(TODAY()-WEEKDAY(TODAY(),2)+1),'Visit Schedule'!$A:$A,"&lt;="&amp;(TODAY()-WEEKDAY(TODAY(),2)+1)+6,'Visit Schedule'!$G:$G,"&lt;&gt;Cancelled")</f>
        <v/>
      </c>
      <c r="I6" s="12" t="n"/>
    </row>
    <row r="8">
      <c r="B8" s="9" t="inlineStr">
        <is>
          <t>VISITS TODAY</t>
        </is>
      </c>
      <c r="C8" s="10" t="n"/>
      <c r="E8" s="9" t="inlineStr">
        <is>
          <t>REVENUE THIS MONTH</t>
        </is>
      </c>
      <c r="F8" s="10" t="n"/>
      <c r="H8" s="9" t="inlineStr">
        <is>
          <t>UNPAID BALANCE</t>
        </is>
      </c>
      <c r="I8" s="10" t="n"/>
    </row>
    <row r="9" ht="40" customHeight="1">
      <c r="B9" s="11">
        <f>COUNTIFS('Visit Schedule'!$A:$A,TODAY(),'Visit Schedule'!$G:$G,"&lt;&gt;Cancelled")</f>
        <v/>
      </c>
      <c r="C9" s="12" t="n"/>
      <c r="E9" s="13">
        <f>SUMIFS('Visit Schedule'!$F:$F,'Visit Schedule'!$G:$G,"Done",'Visit Schedule'!$A:$A,"&gt;="&amp;DATE(YEAR(TODAY()),MONTH(TODAY()),1),'Visit Schedule'!$A:$A,"&lt;"&amp;DATE(YEAR(TODAY()),MONTH(TODAY())+1,1))</f>
        <v/>
      </c>
      <c r="F9" s="12" t="n"/>
      <c r="H9" s="13">
        <f>SUMIFS('Visit Schedule'!$F:$F,'Visit Schedule'!$G:$G,"Done",'Visit Schedule'!$H:$H,"&lt;&gt;Yes")</f>
        <v/>
      </c>
      <c r="I9" s="12" t="n"/>
    </row>
    <row r="12" ht="22" customHeight="1">
      <c r="B12" s="14" t="inlineStr">
        <is>
          <t>TOP CLIENTS  (completed visits, all time)</t>
        </is>
      </c>
      <c r="C12" s="15" t="n"/>
      <c r="D12" s="15" t="n"/>
      <c r="E12" s="15" t="n"/>
      <c r="F12" s="15" t="n"/>
      <c r="G12" s="15" t="n"/>
      <c r="H12" s="15" t="n"/>
      <c r="I12" s="15" t="n"/>
    </row>
    <row r="13">
      <c r="B13" s="16" t="inlineStr">
        <is>
          <t>Rank</t>
        </is>
      </c>
      <c r="C13" s="16" t="inlineStr">
        <is>
          <t>Client</t>
        </is>
      </c>
      <c r="H13" s="16" t="inlineStr">
        <is>
          <t>Revenue</t>
        </is>
      </c>
      <c r="O13" s="17" t="inlineStr">
        <is>
          <t>engine ↓</t>
        </is>
      </c>
      <c r="P13" s="17" t="inlineStr">
        <is>
          <t>do not edit</t>
        </is>
      </c>
    </row>
    <row r="14">
      <c r="B14" s="18" t="n">
        <v>1</v>
      </c>
      <c r="C14" s="19">
        <f>IFERROR(INDEX($P$14:$P$33,MATCH(LARGE($O$14:$O$33,1),$O$14:$O$33,0)),"—")</f>
        <v/>
      </c>
      <c r="D14" s="20" t="n"/>
      <c r="E14" s="20" t="n"/>
      <c r="F14" s="20" t="n"/>
      <c r="G14" s="20" t="n"/>
      <c r="H14" s="21">
        <f>IFERROR(ROUND(LARGE($O$14:$O$33,1),2),"")</f>
        <v/>
      </c>
      <c r="I14" s="20" t="n"/>
      <c r="O14" s="22">
        <f>IF('Clients'!A2="","",SUMIFS('Visit Schedule'!$F:$F,'Visit Schedule'!$B:$B,'Clients'!A2,'Visit Schedule'!$G:$G,"Done")+ROW()/10000000)</f>
        <v/>
      </c>
      <c r="P14" s="22">
        <f>IF($O14="","",'Clients'!A2)</f>
        <v/>
      </c>
    </row>
    <row r="15">
      <c r="B15" s="23" t="n">
        <v>2</v>
      </c>
      <c r="C15" s="24">
        <f>IFERROR(INDEX($P$14:$P$33,MATCH(LARGE($O$14:$O$33,2),$O$14:$O$33,0)),"—")</f>
        <v/>
      </c>
      <c r="D15" s="25" t="n"/>
      <c r="E15" s="25" t="n"/>
      <c r="F15" s="25" t="n"/>
      <c r="G15" s="25" t="n"/>
      <c r="H15" s="26">
        <f>IFERROR(ROUND(LARGE($O$14:$O$33,2),2),"")</f>
        <v/>
      </c>
      <c r="I15" s="25" t="n"/>
      <c r="O15" s="22">
        <f>IF('Clients'!A3="","",SUMIFS('Visit Schedule'!$F:$F,'Visit Schedule'!$B:$B,'Clients'!A3,'Visit Schedule'!$G:$G,"Done")+ROW()/10000000)</f>
        <v/>
      </c>
      <c r="P15" s="22">
        <f>IF($O15="","",'Clients'!A3)</f>
        <v/>
      </c>
    </row>
    <row r="16">
      <c r="B16" s="18" t="n">
        <v>3</v>
      </c>
      <c r="C16" s="19">
        <f>IFERROR(INDEX($P$14:$P$33,MATCH(LARGE($O$14:$O$33,3),$O$14:$O$33,0)),"—")</f>
        <v/>
      </c>
      <c r="D16" s="20" t="n"/>
      <c r="E16" s="20" t="n"/>
      <c r="F16" s="20" t="n"/>
      <c r="G16" s="20" t="n"/>
      <c r="H16" s="21">
        <f>IFERROR(ROUND(LARGE($O$14:$O$33,3),2),"")</f>
        <v/>
      </c>
      <c r="I16" s="20" t="n"/>
      <c r="O16" s="22">
        <f>IF('Clients'!A4="","",SUMIFS('Visit Schedule'!$F:$F,'Visit Schedule'!$B:$B,'Clients'!A4,'Visit Schedule'!$G:$G,"Done")+ROW()/10000000)</f>
        <v/>
      </c>
      <c r="P16" s="22">
        <f>IF($O16="","",'Clients'!A4)</f>
        <v/>
      </c>
    </row>
    <row r="17">
      <c r="B17" s="23" t="n">
        <v>4</v>
      </c>
      <c r="C17" s="24">
        <f>IFERROR(INDEX($P$14:$P$33,MATCH(LARGE($O$14:$O$33,4),$O$14:$O$33,0)),"—")</f>
        <v/>
      </c>
      <c r="D17" s="25" t="n"/>
      <c r="E17" s="25" t="n"/>
      <c r="F17" s="25" t="n"/>
      <c r="G17" s="25" t="n"/>
      <c r="H17" s="26">
        <f>IFERROR(ROUND(LARGE($O$14:$O$33,4),2),"")</f>
        <v/>
      </c>
      <c r="I17" s="25" t="n"/>
      <c r="O17" s="22">
        <f>IF('Clients'!A5="","",SUMIFS('Visit Schedule'!$F:$F,'Visit Schedule'!$B:$B,'Clients'!A5,'Visit Schedule'!$G:$G,"Done")+ROW()/10000000)</f>
        <v/>
      </c>
      <c r="P17" s="22">
        <f>IF($O17="","",'Clients'!A5)</f>
        <v/>
      </c>
    </row>
    <row r="18">
      <c r="B18" s="18" t="n">
        <v>5</v>
      </c>
      <c r="C18" s="19">
        <f>IFERROR(INDEX($P$14:$P$33,MATCH(LARGE($O$14:$O$33,5),$O$14:$O$33,0)),"—")</f>
        <v/>
      </c>
      <c r="D18" s="20" t="n"/>
      <c r="E18" s="20" t="n"/>
      <c r="F18" s="20" t="n"/>
      <c r="G18" s="20" t="n"/>
      <c r="H18" s="21">
        <f>IFERROR(ROUND(LARGE($O$14:$O$33,5),2),"")</f>
        <v/>
      </c>
      <c r="I18" s="20" t="n"/>
      <c r="O18" s="22">
        <f>IF('Clients'!A6="","",SUMIFS('Visit Schedule'!$F:$F,'Visit Schedule'!$B:$B,'Clients'!A6,'Visit Schedule'!$G:$G,"Done")+ROW()/10000000)</f>
        <v/>
      </c>
      <c r="P18" s="22">
        <f>IF($O18="","",'Clients'!A6)</f>
        <v/>
      </c>
    </row>
    <row r="19">
      <c r="O19" s="22">
        <f>IF('Clients'!A7="","",SUMIFS('Visit Schedule'!$F:$F,'Visit Schedule'!$B:$B,'Clients'!A7,'Visit Schedule'!$G:$G,"Done")+ROW()/10000000)</f>
        <v/>
      </c>
      <c r="P19" s="22">
        <f>IF($O19="","",'Clients'!A7)</f>
        <v/>
      </c>
    </row>
    <row r="20">
      <c r="O20" s="22">
        <f>IF('Clients'!A8="","",SUMIFS('Visit Schedule'!$F:$F,'Visit Schedule'!$B:$B,'Clients'!A8,'Visit Schedule'!$G:$G,"Done")+ROW()/10000000)</f>
        <v/>
      </c>
      <c r="P20" s="22">
        <f>IF($O20="","",'Clients'!A8)</f>
        <v/>
      </c>
    </row>
    <row r="21">
      <c r="B21" s="27" t="inlineStr">
        <is>
          <t>Top-client list scans your first 20 client rows. Hidden columns O-P do the math — leave them alone (Format &gt; Unhide if you're curious).</t>
        </is>
      </c>
      <c r="O21" s="22">
        <f>IF('Clients'!A9="","",SUMIFS('Visit Schedule'!$F:$F,'Visit Schedule'!$B:$B,'Clients'!A9,'Visit Schedule'!$G:$G,"Done")+ROW()/10000000)</f>
        <v/>
      </c>
      <c r="P21" s="22">
        <f>IF($O21="","",'Clients'!A9)</f>
        <v/>
      </c>
    </row>
    <row r="22">
      <c r="O22" s="22">
        <f>IF('Clients'!A10="","",SUMIFS('Visit Schedule'!$F:$F,'Visit Schedule'!$B:$B,'Clients'!A10,'Visit Schedule'!$G:$G,"Done")+ROW()/10000000)</f>
        <v/>
      </c>
      <c r="P22" s="22">
        <f>IF($O22="","",'Clients'!A10)</f>
        <v/>
      </c>
    </row>
    <row r="23">
      <c r="O23" s="22">
        <f>IF('Clients'!A11="","",SUMIFS('Visit Schedule'!$F:$F,'Visit Schedule'!$B:$B,'Clients'!A11,'Visit Schedule'!$G:$G,"Done")+ROW()/10000000)</f>
        <v/>
      </c>
      <c r="P23" s="22">
        <f>IF($O23="","",'Clients'!A11)</f>
        <v/>
      </c>
    </row>
    <row r="24">
      <c r="O24" s="22">
        <f>IF('Clients'!A12="","",SUMIFS('Visit Schedule'!$F:$F,'Visit Schedule'!$B:$B,'Clients'!A12,'Visit Schedule'!$G:$G,"Done")+ROW()/10000000)</f>
        <v/>
      </c>
      <c r="P24" s="22">
        <f>IF($O24="","",'Clients'!A12)</f>
        <v/>
      </c>
    </row>
    <row r="25">
      <c r="O25" s="22">
        <f>IF('Clients'!A13="","",SUMIFS('Visit Schedule'!$F:$F,'Visit Schedule'!$B:$B,'Clients'!A13,'Visit Schedule'!$G:$G,"Done")+ROW()/10000000)</f>
        <v/>
      </c>
      <c r="P25" s="22">
        <f>IF($O25="","",'Clients'!A13)</f>
        <v/>
      </c>
    </row>
    <row r="26">
      <c r="O26" s="22">
        <f>IF('Clients'!A14="","",SUMIFS('Visit Schedule'!$F:$F,'Visit Schedule'!$B:$B,'Clients'!A14,'Visit Schedule'!$G:$G,"Done")+ROW()/10000000)</f>
        <v/>
      </c>
      <c r="P26" s="22">
        <f>IF($O26="","",'Clients'!A14)</f>
        <v/>
      </c>
    </row>
    <row r="27">
      <c r="O27" s="22">
        <f>IF('Clients'!A15="","",SUMIFS('Visit Schedule'!$F:$F,'Visit Schedule'!$B:$B,'Clients'!A15,'Visit Schedule'!$G:$G,"Done")+ROW()/10000000)</f>
        <v/>
      </c>
      <c r="P27" s="22">
        <f>IF($O27="","",'Clients'!A15)</f>
        <v/>
      </c>
    </row>
    <row r="28">
      <c r="O28" s="22">
        <f>IF('Clients'!A16="","",SUMIFS('Visit Schedule'!$F:$F,'Visit Schedule'!$B:$B,'Clients'!A16,'Visit Schedule'!$G:$G,"Done")+ROW()/10000000)</f>
        <v/>
      </c>
      <c r="P28" s="22">
        <f>IF($O28="","",'Clients'!A16)</f>
        <v/>
      </c>
    </row>
    <row r="29">
      <c r="O29" s="22">
        <f>IF('Clients'!A17="","",SUMIFS('Visit Schedule'!$F:$F,'Visit Schedule'!$B:$B,'Clients'!A17,'Visit Schedule'!$G:$G,"Done")+ROW()/10000000)</f>
        <v/>
      </c>
      <c r="P29" s="22">
        <f>IF($O29="","",'Clients'!A17)</f>
        <v/>
      </c>
    </row>
    <row r="30">
      <c r="O30" s="22">
        <f>IF('Clients'!A18="","",SUMIFS('Visit Schedule'!$F:$F,'Visit Schedule'!$B:$B,'Clients'!A18,'Visit Schedule'!$G:$G,"Done")+ROW()/10000000)</f>
        <v/>
      </c>
      <c r="P30" s="22">
        <f>IF($O30="","",'Clients'!A18)</f>
        <v/>
      </c>
    </row>
    <row r="31">
      <c r="O31" s="22">
        <f>IF('Clients'!A19="","",SUMIFS('Visit Schedule'!$F:$F,'Visit Schedule'!$B:$B,'Clients'!A19,'Visit Schedule'!$G:$G,"Done")+ROW()/10000000)</f>
        <v/>
      </c>
      <c r="P31" s="22">
        <f>IF($O31="","",'Clients'!A19)</f>
        <v/>
      </c>
    </row>
    <row r="32">
      <c r="O32" s="22">
        <f>IF('Clients'!A20="","",SUMIFS('Visit Schedule'!$F:$F,'Visit Schedule'!$B:$B,'Clients'!A20,'Visit Schedule'!$G:$G,"Done")+ROW()/10000000)</f>
        <v/>
      </c>
      <c r="P32" s="22">
        <f>IF($O32="","",'Clients'!A20)</f>
        <v/>
      </c>
    </row>
    <row r="33">
      <c r="O33" s="22">
        <f>IF('Clients'!A21="","",SUMIFS('Visit Schedule'!$F:$F,'Visit Schedule'!$B:$B,'Clients'!A21,'Visit Schedule'!$G:$G,"Done")+ROW()/10000000)</f>
        <v/>
      </c>
      <c r="P33" s="22">
        <f>IF($O33="","",'Clients'!A21)</f>
        <v/>
      </c>
    </row>
  </sheetData>
  <mergeCells count="27">
    <mergeCell ref="C15:G15"/>
    <mergeCell ref="E5:F5"/>
    <mergeCell ref="C14:G14"/>
    <mergeCell ref="H9:I9"/>
    <mergeCell ref="E8:F8"/>
    <mergeCell ref="B12:I12"/>
    <mergeCell ref="B21:I21"/>
    <mergeCell ref="H6:I6"/>
    <mergeCell ref="C16:G16"/>
    <mergeCell ref="B2:I2"/>
    <mergeCell ref="E9:F9"/>
    <mergeCell ref="B8:C8"/>
    <mergeCell ref="H17:I17"/>
    <mergeCell ref="E6:F6"/>
    <mergeCell ref="H16:I16"/>
    <mergeCell ref="B9:C9"/>
    <mergeCell ref="H13:I13"/>
    <mergeCell ref="H14:I14"/>
    <mergeCell ref="C17:G17"/>
    <mergeCell ref="B6:C6"/>
    <mergeCell ref="B5:C5"/>
    <mergeCell ref="H15:I15"/>
    <mergeCell ref="H18:I18"/>
    <mergeCell ref="H5:I5"/>
    <mergeCell ref="H8:I8"/>
    <mergeCell ref="C13:G13"/>
    <mergeCell ref="C18:G18"/>
  </mergeCells>
  <pageMargins left="0.75" right="0.75" top="1" bottom="1" header="0.5" footer="0.5"/>
</worksheet>
</file>

<file path=xl/worksheets/sheet3.xml><?xml version="1.0" encoding="utf-8"?>
<worksheet xmlns="http://schemas.openxmlformats.org/spreadsheetml/2006/main">
  <sheetPr>
    <tabColor rgb="009CB49A"/>
    <outlinePr summaryBelow="1" summaryRight="1"/>
    <pageSetUpPr/>
  </sheetPr>
  <dimension ref="A1:M200"/>
  <sheetViews>
    <sheetView workbookViewId="0">
      <pane ySplit="1" topLeftCell="A2" activePane="bottomLeft" state="frozen"/>
      <selection pane="bottomLeft" activeCell="A1" sqref="A1"/>
    </sheetView>
  </sheetViews>
  <sheetFormatPr baseColWidth="8" defaultRowHeight="15"/>
  <cols>
    <col width="22" customWidth="1" min="1" max="1"/>
    <col width="15" customWidth="1" min="2" max="2"/>
    <col width="24" customWidth="1" min="3" max="3"/>
    <col width="28" customWidth="1" min="4" max="4"/>
    <col width="17" customWidth="1" min="5" max="5"/>
    <col width="28" customWidth="1" min="6" max="6"/>
    <col width="22" customWidth="1" min="7" max="7"/>
    <col width="26" customWidth="1" min="8" max="8"/>
    <col width="22" customWidth="1" min="9" max="9"/>
    <col width="15" customWidth="1" min="10" max="10"/>
    <col width="16" customWidth="1" min="11" max="11"/>
    <col width="12" customWidth="1" min="12" max="12"/>
    <col width="32" customWidth="1" min="13" max="13"/>
  </cols>
  <sheetData>
    <row r="1" ht="26" customHeight="1">
      <c r="A1" s="28" t="inlineStr">
        <is>
          <t>Client Name</t>
        </is>
      </c>
      <c r="B1" s="28" t="inlineStr">
        <is>
          <t>Phone</t>
        </is>
      </c>
      <c r="C1" s="28" t="inlineStr">
        <is>
          <t>Email</t>
        </is>
      </c>
      <c r="D1" s="28" t="inlineStr">
        <is>
          <t>Home Address</t>
        </is>
      </c>
      <c r="E1" s="28" t="inlineStr">
        <is>
          <t>Door / Gate Code</t>
        </is>
      </c>
      <c r="F1" s="28" t="inlineStr">
        <is>
          <t>Alarm Instructions</t>
        </is>
      </c>
      <c r="G1" s="28" t="inlineStr">
        <is>
          <t>Key Location</t>
        </is>
      </c>
      <c r="H1" s="28" t="inlineStr">
        <is>
          <t>Emergency Contact (name &amp; phone)</t>
        </is>
      </c>
      <c r="I1" s="28" t="inlineStr">
        <is>
          <t>Vet Clinic</t>
        </is>
      </c>
      <c r="J1" s="28" t="inlineStr">
        <is>
          <t>Vet Phone</t>
        </is>
      </c>
      <c r="K1" s="28" t="inlineStr">
        <is>
          <t>Preferred Contact</t>
        </is>
      </c>
      <c r="L1" s="28" t="inlineStr">
        <is>
          <t>Status</t>
        </is>
      </c>
      <c r="M1" s="28" t="inlineStr">
        <is>
          <t>Notes</t>
        </is>
      </c>
    </row>
    <row r="2">
      <c r="A2" s="29" t="inlineStr">
        <is>
          <t>Sarah Mitchell</t>
        </is>
      </c>
      <c r="B2" s="29" t="inlineStr">
        <is>
          <t>(555) 201-8843</t>
        </is>
      </c>
      <c r="C2" s="29" t="inlineStr">
        <is>
          <t>sarah.m@example.com</t>
        </is>
      </c>
      <c r="D2" s="29" t="inlineStr">
        <is>
          <t>42 Birchwood Ln</t>
        </is>
      </c>
      <c r="E2" s="29" t="inlineStr">
        <is>
          <t>Garage keypad: 4821#</t>
        </is>
      </c>
      <c r="F2" s="29" t="inlineStr">
        <is>
          <t>Panel by front door — code 0515, disarm within 60 sec</t>
        </is>
      </c>
      <c r="G2" s="29" t="inlineStr">
        <is>
          <t>Lockbox on porch rail — 7734</t>
        </is>
      </c>
      <c r="H2" s="29" t="inlineStr">
        <is>
          <t>Tom Mitchell (555) 201-8850</t>
        </is>
      </c>
      <c r="I2" s="29" t="inlineStr">
        <is>
          <t>Lakeview Animal Hospital</t>
        </is>
      </c>
      <c r="J2" s="29" t="inlineStr">
        <is>
          <t>(555) 640-2210</t>
        </is>
      </c>
      <c r="K2" s="29" t="inlineStr">
        <is>
          <t>Text</t>
        </is>
      </c>
      <c r="L2" s="29" t="inlineStr">
        <is>
          <t>Active</t>
        </is>
      </c>
      <c r="M2" s="29" t="inlineStr">
        <is>
          <t>SAMPLE ROW — delete me</t>
        </is>
      </c>
    </row>
    <row r="3">
      <c r="A3" s="29" t="inlineStr">
        <is>
          <t>Dana Whitfield</t>
        </is>
      </c>
      <c r="B3" s="29" t="inlineStr">
        <is>
          <t>(555) 318-2276</t>
        </is>
      </c>
      <c r="C3" s="29" t="inlineStr">
        <is>
          <t>danaw@example.com</t>
        </is>
      </c>
      <c r="D3" s="29" t="inlineStr">
        <is>
          <t>980 Alder Ct, Unit B</t>
        </is>
      </c>
      <c r="E3" s="29" t="inlineStr">
        <is>
          <t>Gate: 2299 / Door: key only</t>
        </is>
      </c>
      <c r="F3" s="29" t="inlineStr">
        <is>
          <t>No alarm</t>
        </is>
      </c>
      <c r="G3" s="29" t="inlineStr">
        <is>
          <t>Under ceramic frog, left of steps</t>
        </is>
      </c>
      <c r="H3" s="29" t="inlineStr">
        <is>
          <t>Priya Nair (sister) (555) 318-9901</t>
        </is>
      </c>
      <c r="I3" s="29" t="inlineStr">
        <is>
          <t>Eastside Vet Clinic</t>
        </is>
      </c>
      <c r="J3" s="29" t="inlineStr">
        <is>
          <t>(555) 772-0184</t>
        </is>
      </c>
      <c r="K3" s="29" t="inlineStr">
        <is>
          <t>Email</t>
        </is>
      </c>
      <c r="L3" s="29" t="inlineStr">
        <is>
          <t>Active</t>
        </is>
      </c>
      <c r="M3" s="29" t="inlineStr">
        <is>
          <t>SAMPLE ROW — delete me</t>
        </is>
      </c>
    </row>
    <row r="4">
      <c r="A4" s="29" t="inlineStr">
        <is>
          <t>Marcus Lee</t>
        </is>
      </c>
      <c r="B4" s="29" t="inlineStr">
        <is>
          <t>(555) 467-9032</t>
        </is>
      </c>
      <c r="C4" s="29" t="inlineStr">
        <is>
          <t>marcus.lee@example.com</t>
        </is>
      </c>
      <c r="D4" s="29" t="inlineStr">
        <is>
          <t>17 Harborview Dr</t>
        </is>
      </c>
      <c r="E4" s="29" t="inlineStr">
        <is>
          <t>Smart lock — code texted weekly</t>
        </is>
      </c>
      <c r="F4" s="29" t="inlineStr">
        <is>
          <t>Alarm app on my phone (shared access)</t>
        </is>
      </c>
      <c r="G4" s="29" t="inlineStr">
        <is>
          <t>N/A — smart lock</t>
        </is>
      </c>
      <c r="H4" s="29" t="inlineStr">
        <is>
          <t>Jen Lee (555) 467-9033</t>
        </is>
      </c>
      <c r="I4" s="29" t="inlineStr">
        <is>
          <t>Harbor Animal Hospital</t>
        </is>
      </c>
      <c r="J4" s="29" t="inlineStr">
        <is>
          <t>(555) 903-3341</t>
        </is>
      </c>
      <c r="K4" s="29" t="inlineStr">
        <is>
          <t>Call</t>
        </is>
      </c>
      <c r="L4" s="29" t="inlineStr">
        <is>
          <t>Waitlist</t>
        </is>
      </c>
      <c r="M4" s="29" t="inlineStr">
        <is>
          <t>SAMPLE ROW — delete me</t>
        </is>
      </c>
    </row>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conditionalFormatting sqref="L2:L200">
    <cfRule type="expression" priority="1" dxfId="0">
      <formula>$L2="Active"</formula>
    </cfRule>
    <cfRule type="expression" priority="2" dxfId="1">
      <formula>$L2="Waitlist"</formula>
    </cfRule>
  </conditionalFormatting>
  <dataValidations count="2">
    <dataValidation sqref="K2:K200" showDropDown="0" showInputMessage="0" showErrorMessage="0" allowBlank="1" type="list">
      <formula1>"Text,Call,Email"</formula1>
    </dataValidation>
    <dataValidation sqref="L2:L200" showDropDown="0" showInputMessage="0" showErrorMessage="0" allowBlank="1" type="list">
      <formula1>"Active,Inactive,Waitlist"</formula1>
    </dataValidation>
  </dataValidations>
  <pageMargins left="0.75" right="0.75" top="1" bottom="1" header="0.5" footer="0.5"/>
</worksheet>
</file>

<file path=xl/worksheets/sheet4.xml><?xml version="1.0" encoding="utf-8"?>
<worksheet xmlns="http://schemas.openxmlformats.org/spreadsheetml/2006/main">
  <sheetPr>
    <tabColor rgb="009CB49A"/>
    <outlinePr summaryBelow="1" summaryRight="1"/>
    <pageSetUpPr/>
  </sheetPr>
  <dimension ref="A1:J300"/>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0" customWidth="1" min="3" max="3"/>
    <col width="16" customWidth="1" min="4" max="4"/>
    <col width="6" customWidth="1" min="5" max="5"/>
    <col width="32" customWidth="1" min="6" max="6"/>
    <col width="30" customWidth="1" min="7" max="7"/>
    <col width="28" customWidth="1" min="8" max="8"/>
    <col width="34" customWidth="1" min="9" max="9"/>
    <col width="24" customWidth="1" min="10" max="10"/>
  </cols>
  <sheetData>
    <row r="1" ht="26" customHeight="1">
      <c r="A1" s="28" t="inlineStr">
        <is>
          <t>Client</t>
        </is>
      </c>
      <c r="B1" s="28" t="inlineStr">
        <is>
          <t>Pet Name</t>
        </is>
      </c>
      <c r="C1" s="28" t="inlineStr">
        <is>
          <t>Species</t>
        </is>
      </c>
      <c r="D1" s="28" t="inlineStr">
        <is>
          <t>Breed</t>
        </is>
      </c>
      <c r="E1" s="28" t="inlineStr">
        <is>
          <t>Age</t>
        </is>
      </c>
      <c r="F1" s="28" t="inlineStr">
        <is>
          <t>Feeding Instructions</t>
        </is>
      </c>
      <c r="G1" s="28" t="inlineStr">
        <is>
          <t>Medications &amp; Schedule</t>
        </is>
      </c>
      <c r="H1" s="28" t="inlineStr">
        <is>
          <t>Walk Routine</t>
        </is>
      </c>
      <c r="I1" s="28" t="inlineStr">
        <is>
          <t>Behavior Notes / Warnings</t>
        </is>
      </c>
      <c r="J1" s="28" t="inlineStr">
        <is>
          <t>Grooming Notes</t>
        </is>
      </c>
    </row>
    <row r="2">
      <c r="A2" s="29" t="inlineStr">
        <is>
          <t>Sarah Mitchell</t>
        </is>
      </c>
      <c r="B2" s="29" t="inlineStr">
        <is>
          <t>Biscuit</t>
        </is>
      </c>
      <c r="C2" s="29" t="inlineStr">
        <is>
          <t>Dog</t>
        </is>
      </c>
      <c r="D2" s="29" t="inlineStr">
        <is>
          <t>Golden Retriever</t>
        </is>
      </c>
      <c r="E2" s="29" t="inlineStr">
        <is>
          <t>4</t>
        </is>
      </c>
      <c r="F2" s="29" t="inlineStr">
        <is>
          <t>1 cup kibble 7am &amp; 6pm; treats after walks OK</t>
        </is>
      </c>
      <c r="G2" s="29" t="inlineStr">
        <is>
          <t>None</t>
        </is>
      </c>
      <c r="H2" s="29" t="inlineStr">
        <is>
          <t>30 min neighborhood loop; pulls hard at squirrels</t>
        </is>
      </c>
      <c r="I2" s="29" t="inlineStr">
        <is>
          <t>Friendly with all dogs &amp; people</t>
        </is>
      </c>
      <c r="J2" s="29" t="inlineStr">
        <is>
          <t>Brush weekly — SAMPLE ROW, delete me</t>
        </is>
      </c>
    </row>
    <row r="3">
      <c r="A3" s="29" t="inlineStr">
        <is>
          <t>Sarah Mitchell</t>
        </is>
      </c>
      <c r="B3" s="29" t="inlineStr">
        <is>
          <t>Clover</t>
        </is>
      </c>
      <c r="C3" s="29" t="inlineStr">
        <is>
          <t>Cat</t>
        </is>
      </c>
      <c r="D3" s="29" t="inlineStr">
        <is>
          <t>Domestic Shorthair</t>
        </is>
      </c>
      <c r="E3" s="29" t="inlineStr">
        <is>
          <t>7</t>
        </is>
      </c>
      <c r="F3" s="29" t="inlineStr">
        <is>
          <t>1/2 can wet food 8am; dry food always out</t>
        </is>
      </c>
      <c r="G3" s="29" t="inlineStr">
        <is>
          <t>Thyroid pill 8am — hide in Churu treat</t>
        </is>
      </c>
      <c r="H3" s="29" t="inlineStr">
        <is>
          <t>Indoor only</t>
        </is>
      </c>
      <c r="I3" s="29" t="inlineStr">
        <is>
          <t>Shy — hides under guest bed from strangers</t>
        </is>
      </c>
      <c r="J3" s="29" t="inlineStr">
        <is>
          <t>SAMPLE ROW — delete me</t>
        </is>
      </c>
    </row>
    <row r="4">
      <c r="A4" s="29" t="inlineStr">
        <is>
          <t>Dana Whitfield</t>
        </is>
      </c>
      <c r="B4" s="29" t="inlineStr">
        <is>
          <t>Rocko</t>
        </is>
      </c>
      <c r="C4" s="29" t="inlineStr">
        <is>
          <t>Dog</t>
        </is>
      </c>
      <c r="D4" s="29" t="inlineStr">
        <is>
          <t>Boxer mix</t>
        </is>
      </c>
      <c r="E4" s="29" t="inlineStr">
        <is>
          <t>2</t>
        </is>
      </c>
      <c r="F4" s="29" t="inlineStr">
        <is>
          <t>2 cups kibble 6pm only; no chicken (allergy)</t>
        </is>
      </c>
      <c r="G4" s="29" t="inlineStr">
        <is>
          <t>None</t>
        </is>
      </c>
      <c r="H4" s="29" t="inlineStr">
        <is>
          <t>60 min run or fetch at Alder Park</t>
        </is>
      </c>
      <c r="I4" s="29" t="inlineStr">
        <is>
          <t>CAUTION: reactive to bikes &amp; skateboards — short leash near paths</t>
        </is>
      </c>
      <c r="J4" s="29" t="inlineStr">
        <is>
          <t>SAMPLE ROW — delete me</t>
        </is>
      </c>
    </row>
    <row r="5">
      <c r="A5" s="29" t="inlineStr">
        <is>
          <t>Marcus Lee</t>
        </is>
      </c>
      <c r="B5" s="29" t="inlineStr">
        <is>
          <t>Pepper</t>
        </is>
      </c>
      <c r="C5" s="29" t="inlineStr">
        <is>
          <t>Dog</t>
        </is>
      </c>
      <c r="D5" s="29" t="inlineStr">
        <is>
          <t>Mini Schnauzer</t>
        </is>
      </c>
      <c r="E5" s="29" t="inlineStr">
        <is>
          <t>9</t>
        </is>
      </c>
      <c r="F5" s="29" t="inlineStr">
        <is>
          <t>1/2 cup senior kibble 7am &amp; 5pm</t>
        </is>
      </c>
      <c r="G5" s="29" t="inlineStr">
        <is>
          <t>Rimadyl 25mg with dinner</t>
        </is>
      </c>
      <c r="H5" s="29" t="inlineStr">
        <is>
          <t>20 min gentle walk, no stairs</t>
        </is>
      </c>
      <c r="I5" s="29" t="inlineStr">
        <is>
          <t>Barks at mail carriers — all noise, no bite</t>
        </is>
      </c>
      <c r="J5" s="29" t="inlineStr">
        <is>
          <t>Grooming every 6 weeks — SAMPLE ROW, delete me</t>
        </is>
      </c>
    </row>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sheetData>
  <conditionalFormatting sqref="A2:J300">
    <cfRule type="expression" priority="1" dxfId="2" stopIfTrue="1">
      <formula>ISNUMBER(SEARCH("CAUTION",$I2))</formula>
    </cfRule>
  </conditionalFormatting>
  <dataValidations count="1">
    <dataValidation sqref="A2:A300" showDropDown="0" showInputMessage="0" showErrorMessage="0" allowBlank="1" type="list">
      <formula1>ClientList</formula1>
    </dataValidation>
  </dataValidations>
  <pageMargins left="0.75" right="0.75" top="1" bottom="1" header="0.5" footer="0.5"/>
</worksheet>
</file>

<file path=xl/worksheets/sheet5.xml><?xml version="1.0" encoding="utf-8"?>
<worksheet xmlns="http://schemas.openxmlformats.org/spreadsheetml/2006/main">
  <sheetPr>
    <tabColor rgb="009CB49A"/>
    <outlinePr summaryBelow="1" summaryRight="1"/>
    <pageSetUpPr/>
  </sheetPr>
  <dimension ref="A1:I250"/>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6" customWidth="1" min="3" max="3"/>
    <col width="18" customWidth="1" min="4" max="4"/>
    <col width="12" customWidth="1" min="5" max="5"/>
    <col width="10" customWidth="1" min="6" max="6"/>
    <col width="11" customWidth="1" min="7" max="7"/>
    <col width="8" customWidth="1" min="8" max="8"/>
    <col width="30" customWidth="1" min="9" max="9"/>
  </cols>
  <sheetData>
    <row r="1" ht="26" customHeight="1">
      <c r="A1" s="28" t="inlineStr">
        <is>
          <t>Date</t>
        </is>
      </c>
      <c r="B1" s="28" t="inlineStr">
        <is>
          <t>Client</t>
        </is>
      </c>
      <c r="C1" s="28" t="inlineStr">
        <is>
          <t>Pet(s)</t>
        </is>
      </c>
      <c r="D1" s="28" t="inlineStr">
        <is>
          <t>Service</t>
        </is>
      </c>
      <c r="E1" s="28" t="inlineStr">
        <is>
          <t>Recurring?</t>
        </is>
      </c>
      <c r="F1" s="28" t="inlineStr">
        <is>
          <t>Rate ($)</t>
        </is>
      </c>
      <c r="G1" s="28" t="inlineStr">
        <is>
          <t>Status</t>
        </is>
      </c>
      <c r="H1" s="28" t="inlineStr">
        <is>
          <t>Paid?</t>
        </is>
      </c>
      <c r="I1" s="28" t="inlineStr">
        <is>
          <t>Notes</t>
        </is>
      </c>
    </row>
    <row r="2">
      <c r="A2" s="30">
        <f>TODAY()+0</f>
        <v/>
      </c>
      <c r="B2" s="29" t="inlineStr">
        <is>
          <t>Sarah Mitchell</t>
        </is>
      </c>
      <c r="C2" s="29" t="inlineStr">
        <is>
          <t>Biscuit + Clover</t>
        </is>
      </c>
      <c r="D2" s="29" t="inlineStr">
        <is>
          <t>Drop-in Visit</t>
        </is>
      </c>
      <c r="E2" s="29" t="inlineStr">
        <is>
          <t>Weekly</t>
        </is>
      </c>
      <c r="F2" s="31">
        <f>IF($D2="","",IFERROR(VLOOKUP($D2,'Services &amp; Rates'!$A$2:$B$30,2,FALSE),""))</f>
        <v/>
      </c>
      <c r="G2" s="29" t="inlineStr">
        <is>
          <t>Booked</t>
        </is>
      </c>
      <c r="H2" s="29" t="inlineStr">
        <is>
          <t>No</t>
        </is>
      </c>
      <c r="I2" s="29" t="inlineStr">
        <is>
          <t>SAMPLE — today's visits glow green</t>
        </is>
      </c>
    </row>
    <row r="3">
      <c r="A3" s="30">
        <f>TODAY()-3</f>
        <v/>
      </c>
      <c r="B3" s="29" t="inlineStr">
        <is>
          <t>Dana Whitfield</t>
        </is>
      </c>
      <c r="C3" s="29" t="inlineStr">
        <is>
          <t>Rocko</t>
        </is>
      </c>
      <c r="D3" s="29" t="inlineStr">
        <is>
          <t>Walk 60 min</t>
        </is>
      </c>
      <c r="E3" s="29" t="inlineStr">
        <is>
          <t>Weekly</t>
        </is>
      </c>
      <c r="F3" s="31">
        <f>IF($D3="","",IFERROR(VLOOKUP($D3,'Services &amp; Rates'!$A$2:$B$30,2,FALSE),""))</f>
        <v/>
      </c>
      <c r="G3" s="29" t="inlineStr">
        <is>
          <t>Done</t>
        </is>
      </c>
      <c r="H3" s="29" t="inlineStr">
        <is>
          <t>No</t>
        </is>
      </c>
      <c r="I3" s="29" t="inlineStr">
        <is>
          <t>SAMPLE — done + unpaid turns red</t>
        </is>
      </c>
    </row>
    <row r="4">
      <c r="A4" s="30">
        <f>TODAY()-7</f>
        <v/>
      </c>
      <c r="B4" s="29" t="inlineStr">
        <is>
          <t>Sarah Mitchell</t>
        </is>
      </c>
      <c r="C4" s="29" t="inlineStr">
        <is>
          <t>Biscuit</t>
        </is>
      </c>
      <c r="D4" s="29" t="inlineStr">
        <is>
          <t>Walk 30 min</t>
        </is>
      </c>
      <c r="E4" s="29" t="inlineStr">
        <is>
          <t>Weekly</t>
        </is>
      </c>
      <c r="F4" s="31">
        <f>IF($D4="","",IFERROR(VLOOKUP($D4,'Services &amp; Rates'!$A$2:$B$30,2,FALSE),""))</f>
        <v/>
      </c>
      <c r="G4" s="29" t="inlineStr">
        <is>
          <t>Done</t>
        </is>
      </c>
      <c r="H4" s="29" t="inlineStr">
        <is>
          <t>Yes</t>
        </is>
      </c>
      <c r="I4" s="29" t="inlineStr">
        <is>
          <t>SAMPLE ROW — delete me</t>
        </is>
      </c>
    </row>
    <row r="5">
      <c r="A5" s="30">
        <f>DATE(YEAR(TODAY()),MONTH(TODAY()),1)</f>
        <v/>
      </c>
      <c r="B5" s="29" t="inlineStr">
        <is>
          <t>Dana Whitfield</t>
        </is>
      </c>
      <c r="C5" s="29" t="inlineStr">
        <is>
          <t>Rocko</t>
        </is>
      </c>
      <c r="D5" s="29" t="inlineStr">
        <is>
          <t>Walk 60 min</t>
        </is>
      </c>
      <c r="E5" s="29" t="inlineStr">
        <is>
          <t>Weekly</t>
        </is>
      </c>
      <c r="F5" s="31">
        <f>IF($D5="","",IFERROR(VLOOKUP($D5,'Services &amp; Rates'!$A$2:$B$30,2,FALSE),""))</f>
        <v/>
      </c>
      <c r="G5" s="29" t="inlineStr">
        <is>
          <t>Done</t>
        </is>
      </c>
      <c r="H5" s="29" t="inlineStr">
        <is>
          <t>Yes</t>
        </is>
      </c>
      <c r="I5" s="29" t="inlineStr">
        <is>
          <t>SAMPLE ROW — delete me</t>
        </is>
      </c>
    </row>
    <row r="6">
      <c r="A6" s="30">
        <f>TODAY()-10</f>
        <v/>
      </c>
      <c r="B6" s="29" t="inlineStr">
        <is>
          <t>Marcus Lee</t>
        </is>
      </c>
      <c r="C6" s="29" t="inlineStr">
        <is>
          <t>Pepper</t>
        </is>
      </c>
      <c r="D6" s="29" t="inlineStr">
        <is>
          <t>Overnight Stay</t>
        </is>
      </c>
      <c r="E6" s="29" t="inlineStr">
        <is>
          <t>One-off</t>
        </is>
      </c>
      <c r="F6" s="31">
        <f>IF($D6="","",IFERROR(VLOOKUP($D6,'Services &amp; Rates'!$A$2:$B$30,2,FALSE),""))</f>
        <v/>
      </c>
      <c r="G6" s="29" t="inlineStr">
        <is>
          <t>Done</t>
        </is>
      </c>
      <c r="H6" s="29" t="inlineStr">
        <is>
          <t>No</t>
        </is>
      </c>
      <c r="I6" s="29" t="inlineStr">
        <is>
          <t>SAMPLE ROW — delete me</t>
        </is>
      </c>
    </row>
    <row r="7">
      <c r="A7" s="30">
        <f>TODAY()+2</f>
        <v/>
      </c>
      <c r="B7" s="29" t="inlineStr">
        <is>
          <t>Marcus Lee</t>
        </is>
      </c>
      <c r="C7" s="29" t="inlineStr">
        <is>
          <t>Pepper</t>
        </is>
      </c>
      <c r="D7" s="29" t="inlineStr">
        <is>
          <t>Walk 30 min</t>
        </is>
      </c>
      <c r="E7" s="29" t="inlineStr">
        <is>
          <t>Biweekly</t>
        </is>
      </c>
      <c r="F7" s="31">
        <f>IF($D7="","",IFERROR(VLOOKUP($D7,'Services &amp; Rates'!$A$2:$B$30,2,FALSE),""))</f>
        <v/>
      </c>
      <c r="G7" s="29" t="inlineStr">
        <is>
          <t>Booked</t>
        </is>
      </c>
      <c r="H7" s="29" t="inlineStr">
        <is>
          <t>No</t>
        </is>
      </c>
      <c r="I7" s="29" t="inlineStr">
        <is>
          <t>SAMPLE ROW — delete me</t>
        </is>
      </c>
    </row>
    <row r="8">
      <c r="A8" s="32" t="n"/>
      <c r="F8" s="33">
        <f>IF($D8="","",IFERROR(VLOOKUP($D8,'Services &amp; Rates'!$A$2:$B$30,2,FALSE),""))</f>
        <v/>
      </c>
    </row>
    <row r="9">
      <c r="A9" s="32" t="n"/>
      <c r="F9" s="33">
        <f>IF($D9="","",IFERROR(VLOOKUP($D9,'Services &amp; Rates'!$A$2:$B$30,2,FALSE),""))</f>
        <v/>
      </c>
    </row>
    <row r="10">
      <c r="A10" s="32" t="n"/>
      <c r="F10" s="33">
        <f>IF($D10="","",IFERROR(VLOOKUP($D10,'Services &amp; Rates'!$A$2:$B$30,2,FALSE),""))</f>
        <v/>
      </c>
    </row>
    <row r="11">
      <c r="A11" s="32" t="n"/>
      <c r="F11" s="33">
        <f>IF($D11="","",IFERROR(VLOOKUP($D11,'Services &amp; Rates'!$A$2:$B$30,2,FALSE),""))</f>
        <v/>
      </c>
    </row>
    <row r="12">
      <c r="A12" s="32" t="n"/>
      <c r="F12" s="33">
        <f>IF($D12="","",IFERROR(VLOOKUP($D12,'Services &amp; Rates'!$A$2:$B$30,2,FALSE),""))</f>
        <v/>
      </c>
    </row>
    <row r="13">
      <c r="A13" s="32" t="n"/>
      <c r="F13" s="33">
        <f>IF($D13="","",IFERROR(VLOOKUP($D13,'Services &amp; Rates'!$A$2:$B$30,2,FALSE),""))</f>
        <v/>
      </c>
    </row>
    <row r="14">
      <c r="A14" s="32" t="n"/>
      <c r="F14" s="33">
        <f>IF($D14="","",IFERROR(VLOOKUP($D14,'Services &amp; Rates'!$A$2:$B$30,2,FALSE),""))</f>
        <v/>
      </c>
    </row>
    <row r="15">
      <c r="A15" s="32" t="n"/>
      <c r="F15" s="33">
        <f>IF($D15="","",IFERROR(VLOOKUP($D15,'Services &amp; Rates'!$A$2:$B$30,2,FALSE),""))</f>
        <v/>
      </c>
    </row>
    <row r="16">
      <c r="A16" s="32" t="n"/>
      <c r="F16" s="33">
        <f>IF($D16="","",IFERROR(VLOOKUP($D16,'Services &amp; Rates'!$A$2:$B$30,2,FALSE),""))</f>
        <v/>
      </c>
    </row>
    <row r="17">
      <c r="A17" s="32" t="n"/>
      <c r="F17" s="33">
        <f>IF($D17="","",IFERROR(VLOOKUP($D17,'Services &amp; Rates'!$A$2:$B$30,2,FALSE),""))</f>
        <v/>
      </c>
    </row>
    <row r="18">
      <c r="A18" s="32" t="n"/>
      <c r="F18" s="33">
        <f>IF($D18="","",IFERROR(VLOOKUP($D18,'Services &amp; Rates'!$A$2:$B$30,2,FALSE),""))</f>
        <v/>
      </c>
    </row>
    <row r="19">
      <c r="A19" s="32" t="n"/>
      <c r="F19" s="33">
        <f>IF($D19="","",IFERROR(VLOOKUP($D19,'Services &amp; Rates'!$A$2:$B$30,2,FALSE),""))</f>
        <v/>
      </c>
    </row>
    <row r="20">
      <c r="A20" s="32" t="n"/>
      <c r="F20" s="33">
        <f>IF($D20="","",IFERROR(VLOOKUP($D20,'Services &amp; Rates'!$A$2:$B$30,2,FALSE),""))</f>
        <v/>
      </c>
    </row>
    <row r="21">
      <c r="A21" s="32" t="n"/>
      <c r="F21" s="33">
        <f>IF($D21="","",IFERROR(VLOOKUP($D21,'Services &amp; Rates'!$A$2:$B$30,2,FALSE),""))</f>
        <v/>
      </c>
    </row>
    <row r="22">
      <c r="A22" s="32" t="n"/>
      <c r="F22" s="33">
        <f>IF($D22="","",IFERROR(VLOOKUP($D22,'Services &amp; Rates'!$A$2:$B$30,2,FALSE),""))</f>
        <v/>
      </c>
    </row>
    <row r="23">
      <c r="A23" s="32" t="n"/>
      <c r="F23" s="33">
        <f>IF($D23="","",IFERROR(VLOOKUP($D23,'Services &amp; Rates'!$A$2:$B$30,2,FALSE),""))</f>
        <v/>
      </c>
    </row>
    <row r="24">
      <c r="A24" s="32" t="n"/>
      <c r="F24" s="33">
        <f>IF($D24="","",IFERROR(VLOOKUP($D24,'Services &amp; Rates'!$A$2:$B$30,2,FALSE),""))</f>
        <v/>
      </c>
    </row>
    <row r="25">
      <c r="A25" s="32" t="n"/>
      <c r="F25" s="33">
        <f>IF($D25="","",IFERROR(VLOOKUP($D25,'Services &amp; Rates'!$A$2:$B$30,2,FALSE),""))</f>
        <v/>
      </c>
    </row>
    <row r="26">
      <c r="A26" s="32" t="n"/>
      <c r="F26" s="33">
        <f>IF($D26="","",IFERROR(VLOOKUP($D26,'Services &amp; Rates'!$A$2:$B$30,2,FALSE),""))</f>
        <v/>
      </c>
    </row>
    <row r="27">
      <c r="A27" s="32" t="n"/>
      <c r="F27" s="33">
        <f>IF($D27="","",IFERROR(VLOOKUP($D27,'Services &amp; Rates'!$A$2:$B$30,2,FALSE),""))</f>
        <v/>
      </c>
    </row>
    <row r="28">
      <c r="A28" s="32" t="n"/>
      <c r="F28" s="33">
        <f>IF($D28="","",IFERROR(VLOOKUP($D28,'Services &amp; Rates'!$A$2:$B$30,2,FALSE),""))</f>
        <v/>
      </c>
    </row>
    <row r="29">
      <c r="A29" s="32" t="n"/>
      <c r="F29" s="33">
        <f>IF($D29="","",IFERROR(VLOOKUP($D29,'Services &amp; Rates'!$A$2:$B$30,2,FALSE),""))</f>
        <v/>
      </c>
    </row>
    <row r="30">
      <c r="A30" s="32" t="n"/>
      <c r="F30" s="33">
        <f>IF($D30="","",IFERROR(VLOOKUP($D30,'Services &amp; Rates'!$A$2:$B$30,2,FALSE),""))</f>
        <v/>
      </c>
    </row>
    <row r="31">
      <c r="A31" s="32" t="n"/>
      <c r="F31" s="33">
        <f>IF($D31="","",IFERROR(VLOOKUP($D31,'Services &amp; Rates'!$A$2:$B$30,2,FALSE),""))</f>
        <v/>
      </c>
    </row>
    <row r="32">
      <c r="A32" s="32" t="n"/>
      <c r="F32" s="33">
        <f>IF($D32="","",IFERROR(VLOOKUP($D32,'Services &amp; Rates'!$A$2:$B$30,2,FALSE),""))</f>
        <v/>
      </c>
    </row>
    <row r="33">
      <c r="A33" s="32" t="n"/>
      <c r="F33" s="33">
        <f>IF($D33="","",IFERROR(VLOOKUP($D33,'Services &amp; Rates'!$A$2:$B$30,2,FALSE),""))</f>
        <v/>
      </c>
    </row>
    <row r="34">
      <c r="A34" s="32" t="n"/>
      <c r="F34" s="33">
        <f>IF($D34="","",IFERROR(VLOOKUP($D34,'Services &amp; Rates'!$A$2:$B$30,2,FALSE),""))</f>
        <v/>
      </c>
    </row>
    <row r="35">
      <c r="A35" s="32" t="n"/>
      <c r="F35" s="33">
        <f>IF($D35="","",IFERROR(VLOOKUP($D35,'Services &amp; Rates'!$A$2:$B$30,2,FALSE),""))</f>
        <v/>
      </c>
    </row>
    <row r="36">
      <c r="A36" s="32" t="n"/>
      <c r="F36" s="33">
        <f>IF($D36="","",IFERROR(VLOOKUP($D36,'Services &amp; Rates'!$A$2:$B$30,2,FALSE),""))</f>
        <v/>
      </c>
    </row>
    <row r="37">
      <c r="A37" s="32" t="n"/>
      <c r="F37" s="33">
        <f>IF($D37="","",IFERROR(VLOOKUP($D37,'Services &amp; Rates'!$A$2:$B$30,2,FALSE),""))</f>
        <v/>
      </c>
    </row>
    <row r="38">
      <c r="A38" s="32" t="n"/>
      <c r="F38" s="33">
        <f>IF($D38="","",IFERROR(VLOOKUP($D38,'Services &amp; Rates'!$A$2:$B$30,2,FALSE),""))</f>
        <v/>
      </c>
    </row>
    <row r="39">
      <c r="A39" s="32" t="n"/>
      <c r="F39" s="33">
        <f>IF($D39="","",IFERROR(VLOOKUP($D39,'Services &amp; Rates'!$A$2:$B$30,2,FALSE),""))</f>
        <v/>
      </c>
    </row>
    <row r="40">
      <c r="A40" s="32" t="n"/>
      <c r="F40" s="33">
        <f>IF($D40="","",IFERROR(VLOOKUP($D40,'Services &amp; Rates'!$A$2:$B$30,2,FALSE),""))</f>
        <v/>
      </c>
    </row>
    <row r="41">
      <c r="A41" s="32" t="n"/>
      <c r="F41" s="33">
        <f>IF($D41="","",IFERROR(VLOOKUP($D41,'Services &amp; Rates'!$A$2:$B$30,2,FALSE),""))</f>
        <v/>
      </c>
    </row>
    <row r="42">
      <c r="A42" s="32" t="n"/>
      <c r="F42" s="33">
        <f>IF($D42="","",IFERROR(VLOOKUP($D42,'Services &amp; Rates'!$A$2:$B$30,2,FALSE),""))</f>
        <v/>
      </c>
    </row>
    <row r="43">
      <c r="A43" s="32" t="n"/>
      <c r="F43" s="33">
        <f>IF($D43="","",IFERROR(VLOOKUP($D43,'Services &amp; Rates'!$A$2:$B$30,2,FALSE),""))</f>
        <v/>
      </c>
    </row>
    <row r="44">
      <c r="A44" s="32" t="n"/>
      <c r="F44" s="33">
        <f>IF($D44="","",IFERROR(VLOOKUP($D44,'Services &amp; Rates'!$A$2:$B$30,2,FALSE),""))</f>
        <v/>
      </c>
    </row>
    <row r="45">
      <c r="A45" s="32" t="n"/>
      <c r="F45" s="33">
        <f>IF($D45="","",IFERROR(VLOOKUP($D45,'Services &amp; Rates'!$A$2:$B$30,2,FALSE),""))</f>
        <v/>
      </c>
    </row>
    <row r="46">
      <c r="A46" s="32" t="n"/>
      <c r="F46" s="33">
        <f>IF($D46="","",IFERROR(VLOOKUP($D46,'Services &amp; Rates'!$A$2:$B$30,2,FALSE),""))</f>
        <v/>
      </c>
    </row>
    <row r="47">
      <c r="A47" s="32" t="n"/>
      <c r="F47" s="33">
        <f>IF($D47="","",IFERROR(VLOOKUP($D47,'Services &amp; Rates'!$A$2:$B$30,2,FALSE),""))</f>
        <v/>
      </c>
    </row>
    <row r="48">
      <c r="A48" s="32" t="n"/>
      <c r="F48" s="33">
        <f>IF($D48="","",IFERROR(VLOOKUP($D48,'Services &amp; Rates'!$A$2:$B$30,2,FALSE),""))</f>
        <v/>
      </c>
    </row>
    <row r="49">
      <c r="A49" s="32" t="n"/>
      <c r="F49" s="33">
        <f>IF($D49="","",IFERROR(VLOOKUP($D49,'Services &amp; Rates'!$A$2:$B$30,2,FALSE),""))</f>
        <v/>
      </c>
    </row>
    <row r="50">
      <c r="A50" s="32" t="n"/>
      <c r="F50" s="33">
        <f>IF($D50="","",IFERROR(VLOOKUP($D50,'Services &amp; Rates'!$A$2:$B$30,2,FALSE),""))</f>
        <v/>
      </c>
    </row>
    <row r="51">
      <c r="A51" s="32" t="n"/>
      <c r="F51" s="33">
        <f>IF($D51="","",IFERROR(VLOOKUP($D51,'Services &amp; Rates'!$A$2:$B$30,2,FALSE),""))</f>
        <v/>
      </c>
    </row>
    <row r="52">
      <c r="A52" s="32" t="n"/>
      <c r="F52" s="33">
        <f>IF($D52="","",IFERROR(VLOOKUP($D52,'Services &amp; Rates'!$A$2:$B$30,2,FALSE),""))</f>
        <v/>
      </c>
    </row>
    <row r="53">
      <c r="A53" s="32" t="n"/>
      <c r="F53" s="33">
        <f>IF($D53="","",IFERROR(VLOOKUP($D53,'Services &amp; Rates'!$A$2:$B$30,2,FALSE),""))</f>
        <v/>
      </c>
    </row>
    <row r="54">
      <c r="A54" s="32" t="n"/>
      <c r="F54" s="33">
        <f>IF($D54="","",IFERROR(VLOOKUP($D54,'Services &amp; Rates'!$A$2:$B$30,2,FALSE),""))</f>
        <v/>
      </c>
    </row>
    <row r="55">
      <c r="A55" s="32" t="n"/>
      <c r="F55" s="33">
        <f>IF($D55="","",IFERROR(VLOOKUP($D55,'Services &amp; Rates'!$A$2:$B$30,2,FALSE),""))</f>
        <v/>
      </c>
    </row>
    <row r="56">
      <c r="A56" s="32" t="n"/>
      <c r="F56" s="33">
        <f>IF($D56="","",IFERROR(VLOOKUP($D56,'Services &amp; Rates'!$A$2:$B$30,2,FALSE),""))</f>
        <v/>
      </c>
    </row>
    <row r="57">
      <c r="A57" s="32" t="n"/>
      <c r="F57" s="33">
        <f>IF($D57="","",IFERROR(VLOOKUP($D57,'Services &amp; Rates'!$A$2:$B$30,2,FALSE),""))</f>
        <v/>
      </c>
    </row>
    <row r="58">
      <c r="A58" s="32" t="n"/>
      <c r="F58" s="33">
        <f>IF($D58="","",IFERROR(VLOOKUP($D58,'Services &amp; Rates'!$A$2:$B$30,2,FALSE),""))</f>
        <v/>
      </c>
    </row>
    <row r="59">
      <c r="A59" s="32" t="n"/>
      <c r="F59" s="33">
        <f>IF($D59="","",IFERROR(VLOOKUP($D59,'Services &amp; Rates'!$A$2:$B$30,2,FALSE),""))</f>
        <v/>
      </c>
    </row>
    <row r="60">
      <c r="A60" s="32" t="n"/>
      <c r="F60" s="33">
        <f>IF($D60="","",IFERROR(VLOOKUP($D60,'Services &amp; Rates'!$A$2:$B$30,2,FALSE),""))</f>
        <v/>
      </c>
    </row>
    <row r="61">
      <c r="A61" s="32" t="n"/>
      <c r="F61" s="33">
        <f>IF($D61="","",IFERROR(VLOOKUP($D61,'Services &amp; Rates'!$A$2:$B$30,2,FALSE),""))</f>
        <v/>
      </c>
    </row>
    <row r="62">
      <c r="A62" s="32" t="n"/>
      <c r="F62" s="33">
        <f>IF($D62="","",IFERROR(VLOOKUP($D62,'Services &amp; Rates'!$A$2:$B$30,2,FALSE),""))</f>
        <v/>
      </c>
    </row>
    <row r="63">
      <c r="A63" s="32" t="n"/>
      <c r="F63" s="33">
        <f>IF($D63="","",IFERROR(VLOOKUP($D63,'Services &amp; Rates'!$A$2:$B$30,2,FALSE),""))</f>
        <v/>
      </c>
    </row>
    <row r="64">
      <c r="A64" s="32" t="n"/>
      <c r="F64" s="33">
        <f>IF($D64="","",IFERROR(VLOOKUP($D64,'Services &amp; Rates'!$A$2:$B$30,2,FALSE),""))</f>
        <v/>
      </c>
    </row>
    <row r="65">
      <c r="A65" s="32" t="n"/>
      <c r="F65" s="33">
        <f>IF($D65="","",IFERROR(VLOOKUP($D65,'Services &amp; Rates'!$A$2:$B$30,2,FALSE),""))</f>
        <v/>
      </c>
    </row>
    <row r="66">
      <c r="A66" s="32" t="n"/>
      <c r="F66" s="33">
        <f>IF($D66="","",IFERROR(VLOOKUP($D66,'Services &amp; Rates'!$A$2:$B$30,2,FALSE),""))</f>
        <v/>
      </c>
    </row>
    <row r="67">
      <c r="A67" s="32" t="n"/>
      <c r="F67" s="33">
        <f>IF($D67="","",IFERROR(VLOOKUP($D67,'Services &amp; Rates'!$A$2:$B$30,2,FALSE),""))</f>
        <v/>
      </c>
    </row>
    <row r="68">
      <c r="A68" s="32" t="n"/>
      <c r="F68" s="33">
        <f>IF($D68="","",IFERROR(VLOOKUP($D68,'Services &amp; Rates'!$A$2:$B$30,2,FALSE),""))</f>
        <v/>
      </c>
    </row>
    <row r="69">
      <c r="A69" s="32" t="n"/>
      <c r="F69" s="33">
        <f>IF($D69="","",IFERROR(VLOOKUP($D69,'Services &amp; Rates'!$A$2:$B$30,2,FALSE),""))</f>
        <v/>
      </c>
    </row>
    <row r="70">
      <c r="A70" s="32" t="n"/>
      <c r="F70" s="33">
        <f>IF($D70="","",IFERROR(VLOOKUP($D70,'Services &amp; Rates'!$A$2:$B$30,2,FALSE),""))</f>
        <v/>
      </c>
    </row>
    <row r="71">
      <c r="A71" s="32" t="n"/>
      <c r="F71" s="33">
        <f>IF($D71="","",IFERROR(VLOOKUP($D71,'Services &amp; Rates'!$A$2:$B$30,2,FALSE),""))</f>
        <v/>
      </c>
    </row>
    <row r="72">
      <c r="A72" s="32" t="n"/>
      <c r="F72" s="33">
        <f>IF($D72="","",IFERROR(VLOOKUP($D72,'Services &amp; Rates'!$A$2:$B$30,2,FALSE),""))</f>
        <v/>
      </c>
    </row>
    <row r="73">
      <c r="A73" s="32" t="n"/>
      <c r="F73" s="33">
        <f>IF($D73="","",IFERROR(VLOOKUP($D73,'Services &amp; Rates'!$A$2:$B$30,2,FALSE),""))</f>
        <v/>
      </c>
    </row>
    <row r="74">
      <c r="A74" s="32" t="n"/>
      <c r="F74" s="33">
        <f>IF($D74="","",IFERROR(VLOOKUP($D74,'Services &amp; Rates'!$A$2:$B$30,2,FALSE),""))</f>
        <v/>
      </c>
    </row>
    <row r="75">
      <c r="A75" s="32" t="n"/>
      <c r="F75" s="33">
        <f>IF($D75="","",IFERROR(VLOOKUP($D75,'Services &amp; Rates'!$A$2:$B$30,2,FALSE),""))</f>
        <v/>
      </c>
    </row>
    <row r="76">
      <c r="A76" s="32" t="n"/>
      <c r="F76" s="33">
        <f>IF($D76="","",IFERROR(VLOOKUP($D76,'Services &amp; Rates'!$A$2:$B$30,2,FALSE),""))</f>
        <v/>
      </c>
    </row>
    <row r="77">
      <c r="A77" s="32" t="n"/>
      <c r="F77" s="33">
        <f>IF($D77="","",IFERROR(VLOOKUP($D77,'Services &amp; Rates'!$A$2:$B$30,2,FALSE),""))</f>
        <v/>
      </c>
    </row>
    <row r="78">
      <c r="A78" s="32" t="n"/>
      <c r="F78" s="33">
        <f>IF($D78="","",IFERROR(VLOOKUP($D78,'Services &amp; Rates'!$A$2:$B$30,2,FALSE),""))</f>
        <v/>
      </c>
    </row>
    <row r="79">
      <c r="A79" s="32" t="n"/>
      <c r="F79" s="33">
        <f>IF($D79="","",IFERROR(VLOOKUP($D79,'Services &amp; Rates'!$A$2:$B$30,2,FALSE),""))</f>
        <v/>
      </c>
    </row>
    <row r="80">
      <c r="A80" s="32" t="n"/>
      <c r="F80" s="33">
        <f>IF($D80="","",IFERROR(VLOOKUP($D80,'Services &amp; Rates'!$A$2:$B$30,2,FALSE),""))</f>
        <v/>
      </c>
    </row>
    <row r="81">
      <c r="A81" s="32" t="n"/>
      <c r="F81" s="33">
        <f>IF($D81="","",IFERROR(VLOOKUP($D81,'Services &amp; Rates'!$A$2:$B$30,2,FALSE),""))</f>
        <v/>
      </c>
    </row>
    <row r="82">
      <c r="A82" s="32" t="n"/>
      <c r="F82" s="33">
        <f>IF($D82="","",IFERROR(VLOOKUP($D82,'Services &amp; Rates'!$A$2:$B$30,2,FALSE),""))</f>
        <v/>
      </c>
    </row>
    <row r="83">
      <c r="A83" s="32" t="n"/>
      <c r="F83" s="33">
        <f>IF($D83="","",IFERROR(VLOOKUP($D83,'Services &amp; Rates'!$A$2:$B$30,2,FALSE),""))</f>
        <v/>
      </c>
    </row>
    <row r="84">
      <c r="A84" s="32" t="n"/>
      <c r="F84" s="33">
        <f>IF($D84="","",IFERROR(VLOOKUP($D84,'Services &amp; Rates'!$A$2:$B$30,2,FALSE),""))</f>
        <v/>
      </c>
    </row>
    <row r="85">
      <c r="A85" s="32" t="n"/>
      <c r="F85" s="33">
        <f>IF($D85="","",IFERROR(VLOOKUP($D85,'Services &amp; Rates'!$A$2:$B$30,2,FALSE),""))</f>
        <v/>
      </c>
    </row>
    <row r="86">
      <c r="A86" s="32" t="n"/>
      <c r="F86" s="33">
        <f>IF($D86="","",IFERROR(VLOOKUP($D86,'Services &amp; Rates'!$A$2:$B$30,2,FALSE),""))</f>
        <v/>
      </c>
    </row>
    <row r="87">
      <c r="A87" s="32" t="n"/>
      <c r="F87" s="33">
        <f>IF($D87="","",IFERROR(VLOOKUP($D87,'Services &amp; Rates'!$A$2:$B$30,2,FALSE),""))</f>
        <v/>
      </c>
    </row>
    <row r="88">
      <c r="A88" s="32" t="n"/>
      <c r="F88" s="33">
        <f>IF($D88="","",IFERROR(VLOOKUP($D88,'Services &amp; Rates'!$A$2:$B$30,2,FALSE),""))</f>
        <v/>
      </c>
    </row>
    <row r="89">
      <c r="A89" s="32" t="n"/>
      <c r="F89" s="33">
        <f>IF($D89="","",IFERROR(VLOOKUP($D89,'Services &amp; Rates'!$A$2:$B$30,2,FALSE),""))</f>
        <v/>
      </c>
    </row>
    <row r="90">
      <c r="A90" s="32" t="n"/>
      <c r="F90" s="33">
        <f>IF($D90="","",IFERROR(VLOOKUP($D90,'Services &amp; Rates'!$A$2:$B$30,2,FALSE),""))</f>
        <v/>
      </c>
    </row>
    <row r="91">
      <c r="A91" s="32" t="n"/>
      <c r="F91" s="33">
        <f>IF($D91="","",IFERROR(VLOOKUP($D91,'Services &amp; Rates'!$A$2:$B$30,2,FALSE),""))</f>
        <v/>
      </c>
    </row>
    <row r="92">
      <c r="A92" s="32" t="n"/>
      <c r="F92" s="33">
        <f>IF($D92="","",IFERROR(VLOOKUP($D92,'Services &amp; Rates'!$A$2:$B$30,2,FALSE),""))</f>
        <v/>
      </c>
    </row>
    <row r="93">
      <c r="A93" s="32" t="n"/>
      <c r="F93" s="33">
        <f>IF($D93="","",IFERROR(VLOOKUP($D93,'Services &amp; Rates'!$A$2:$B$30,2,FALSE),""))</f>
        <v/>
      </c>
    </row>
    <row r="94">
      <c r="A94" s="32" t="n"/>
      <c r="F94" s="33">
        <f>IF($D94="","",IFERROR(VLOOKUP($D94,'Services &amp; Rates'!$A$2:$B$30,2,FALSE),""))</f>
        <v/>
      </c>
    </row>
    <row r="95">
      <c r="A95" s="32" t="n"/>
      <c r="F95" s="33">
        <f>IF($D95="","",IFERROR(VLOOKUP($D95,'Services &amp; Rates'!$A$2:$B$30,2,FALSE),""))</f>
        <v/>
      </c>
    </row>
    <row r="96">
      <c r="A96" s="32" t="n"/>
      <c r="F96" s="33">
        <f>IF($D96="","",IFERROR(VLOOKUP($D96,'Services &amp; Rates'!$A$2:$B$30,2,FALSE),""))</f>
        <v/>
      </c>
    </row>
    <row r="97">
      <c r="A97" s="32" t="n"/>
      <c r="F97" s="33">
        <f>IF($D97="","",IFERROR(VLOOKUP($D97,'Services &amp; Rates'!$A$2:$B$30,2,FALSE),""))</f>
        <v/>
      </c>
    </row>
    <row r="98">
      <c r="A98" s="32" t="n"/>
      <c r="F98" s="33">
        <f>IF($D98="","",IFERROR(VLOOKUP($D98,'Services &amp; Rates'!$A$2:$B$30,2,FALSE),""))</f>
        <v/>
      </c>
    </row>
    <row r="99">
      <c r="A99" s="32" t="n"/>
      <c r="F99" s="33">
        <f>IF($D99="","",IFERROR(VLOOKUP($D99,'Services &amp; Rates'!$A$2:$B$30,2,FALSE),""))</f>
        <v/>
      </c>
    </row>
    <row r="100">
      <c r="A100" s="32" t="n"/>
      <c r="F100" s="33">
        <f>IF($D100="","",IFERROR(VLOOKUP($D100,'Services &amp; Rates'!$A$2:$B$30,2,FALSE),""))</f>
        <v/>
      </c>
    </row>
    <row r="101">
      <c r="A101" s="32" t="n"/>
      <c r="F101" s="33">
        <f>IF($D101="","",IFERROR(VLOOKUP($D101,'Services &amp; Rates'!$A$2:$B$30,2,FALSE),""))</f>
        <v/>
      </c>
    </row>
    <row r="102">
      <c r="A102" s="32" t="n"/>
      <c r="F102" s="33">
        <f>IF($D102="","",IFERROR(VLOOKUP($D102,'Services &amp; Rates'!$A$2:$B$30,2,FALSE),""))</f>
        <v/>
      </c>
    </row>
    <row r="103">
      <c r="A103" s="32" t="n"/>
      <c r="F103" s="33">
        <f>IF($D103="","",IFERROR(VLOOKUP($D103,'Services &amp; Rates'!$A$2:$B$30,2,FALSE),""))</f>
        <v/>
      </c>
    </row>
    <row r="104">
      <c r="A104" s="32" t="n"/>
      <c r="F104" s="33">
        <f>IF($D104="","",IFERROR(VLOOKUP($D104,'Services &amp; Rates'!$A$2:$B$30,2,FALSE),""))</f>
        <v/>
      </c>
    </row>
    <row r="105">
      <c r="A105" s="32" t="n"/>
      <c r="F105" s="33">
        <f>IF($D105="","",IFERROR(VLOOKUP($D105,'Services &amp; Rates'!$A$2:$B$30,2,FALSE),""))</f>
        <v/>
      </c>
    </row>
    <row r="106">
      <c r="A106" s="32" t="n"/>
      <c r="F106" s="33">
        <f>IF($D106="","",IFERROR(VLOOKUP($D106,'Services &amp; Rates'!$A$2:$B$30,2,FALSE),""))</f>
        <v/>
      </c>
    </row>
    <row r="107">
      <c r="A107" s="32" t="n"/>
      <c r="F107" s="33">
        <f>IF($D107="","",IFERROR(VLOOKUP($D107,'Services &amp; Rates'!$A$2:$B$30,2,FALSE),""))</f>
        <v/>
      </c>
    </row>
    <row r="108">
      <c r="A108" s="32" t="n"/>
      <c r="F108" s="33">
        <f>IF($D108="","",IFERROR(VLOOKUP($D108,'Services &amp; Rates'!$A$2:$B$30,2,FALSE),""))</f>
        <v/>
      </c>
    </row>
    <row r="109">
      <c r="A109" s="32" t="n"/>
      <c r="F109" s="33">
        <f>IF($D109="","",IFERROR(VLOOKUP($D109,'Services &amp; Rates'!$A$2:$B$30,2,FALSE),""))</f>
        <v/>
      </c>
    </row>
    <row r="110">
      <c r="A110" s="32" t="n"/>
      <c r="F110" s="33">
        <f>IF($D110="","",IFERROR(VLOOKUP($D110,'Services &amp; Rates'!$A$2:$B$30,2,FALSE),""))</f>
        <v/>
      </c>
    </row>
    <row r="111">
      <c r="A111" s="32" t="n"/>
      <c r="F111" s="33">
        <f>IF($D111="","",IFERROR(VLOOKUP($D111,'Services &amp; Rates'!$A$2:$B$30,2,FALSE),""))</f>
        <v/>
      </c>
    </row>
    <row r="112">
      <c r="A112" s="32" t="n"/>
      <c r="F112" s="33">
        <f>IF($D112="","",IFERROR(VLOOKUP($D112,'Services &amp; Rates'!$A$2:$B$30,2,FALSE),""))</f>
        <v/>
      </c>
    </row>
    <row r="113">
      <c r="A113" s="32" t="n"/>
      <c r="F113" s="33">
        <f>IF($D113="","",IFERROR(VLOOKUP($D113,'Services &amp; Rates'!$A$2:$B$30,2,FALSE),""))</f>
        <v/>
      </c>
    </row>
    <row r="114">
      <c r="A114" s="32" t="n"/>
      <c r="F114" s="33">
        <f>IF($D114="","",IFERROR(VLOOKUP($D114,'Services &amp; Rates'!$A$2:$B$30,2,FALSE),""))</f>
        <v/>
      </c>
    </row>
    <row r="115">
      <c r="A115" s="32" t="n"/>
      <c r="F115" s="33">
        <f>IF($D115="","",IFERROR(VLOOKUP($D115,'Services &amp; Rates'!$A$2:$B$30,2,FALSE),""))</f>
        <v/>
      </c>
    </row>
    <row r="116">
      <c r="A116" s="32" t="n"/>
      <c r="F116" s="33">
        <f>IF($D116="","",IFERROR(VLOOKUP($D116,'Services &amp; Rates'!$A$2:$B$30,2,FALSE),""))</f>
        <v/>
      </c>
    </row>
    <row r="117">
      <c r="A117" s="32" t="n"/>
      <c r="F117" s="33">
        <f>IF($D117="","",IFERROR(VLOOKUP($D117,'Services &amp; Rates'!$A$2:$B$30,2,FALSE),""))</f>
        <v/>
      </c>
    </row>
    <row r="118">
      <c r="A118" s="32" t="n"/>
      <c r="F118" s="33">
        <f>IF($D118="","",IFERROR(VLOOKUP($D118,'Services &amp; Rates'!$A$2:$B$30,2,FALSE),""))</f>
        <v/>
      </c>
    </row>
    <row r="119">
      <c r="A119" s="32" t="n"/>
      <c r="F119" s="33">
        <f>IF($D119="","",IFERROR(VLOOKUP($D119,'Services &amp; Rates'!$A$2:$B$30,2,FALSE),""))</f>
        <v/>
      </c>
    </row>
    <row r="120">
      <c r="A120" s="32" t="n"/>
      <c r="F120" s="33">
        <f>IF($D120="","",IFERROR(VLOOKUP($D120,'Services &amp; Rates'!$A$2:$B$30,2,FALSE),""))</f>
        <v/>
      </c>
    </row>
    <row r="121">
      <c r="A121" s="32" t="n"/>
      <c r="F121" s="33">
        <f>IF($D121="","",IFERROR(VLOOKUP($D121,'Services &amp; Rates'!$A$2:$B$30,2,FALSE),""))</f>
        <v/>
      </c>
    </row>
    <row r="122">
      <c r="A122" s="32" t="n"/>
      <c r="F122" s="33">
        <f>IF($D122="","",IFERROR(VLOOKUP($D122,'Services &amp; Rates'!$A$2:$B$30,2,FALSE),""))</f>
        <v/>
      </c>
    </row>
    <row r="123">
      <c r="A123" s="32" t="n"/>
      <c r="F123" s="33">
        <f>IF($D123="","",IFERROR(VLOOKUP($D123,'Services &amp; Rates'!$A$2:$B$30,2,FALSE),""))</f>
        <v/>
      </c>
    </row>
    <row r="124">
      <c r="A124" s="32" t="n"/>
      <c r="F124" s="33">
        <f>IF($D124="","",IFERROR(VLOOKUP($D124,'Services &amp; Rates'!$A$2:$B$30,2,FALSE),""))</f>
        <v/>
      </c>
    </row>
    <row r="125">
      <c r="A125" s="32" t="n"/>
      <c r="F125" s="33">
        <f>IF($D125="","",IFERROR(VLOOKUP($D125,'Services &amp; Rates'!$A$2:$B$30,2,FALSE),""))</f>
        <v/>
      </c>
    </row>
    <row r="126">
      <c r="A126" s="32" t="n"/>
      <c r="F126" s="33">
        <f>IF($D126="","",IFERROR(VLOOKUP($D126,'Services &amp; Rates'!$A$2:$B$30,2,FALSE),""))</f>
        <v/>
      </c>
    </row>
    <row r="127">
      <c r="A127" s="32" t="n"/>
      <c r="F127" s="33">
        <f>IF($D127="","",IFERROR(VLOOKUP($D127,'Services &amp; Rates'!$A$2:$B$30,2,FALSE),""))</f>
        <v/>
      </c>
    </row>
    <row r="128">
      <c r="A128" s="32" t="n"/>
      <c r="F128" s="33">
        <f>IF($D128="","",IFERROR(VLOOKUP($D128,'Services &amp; Rates'!$A$2:$B$30,2,FALSE),""))</f>
        <v/>
      </c>
    </row>
    <row r="129">
      <c r="A129" s="32" t="n"/>
      <c r="F129" s="33">
        <f>IF($D129="","",IFERROR(VLOOKUP($D129,'Services &amp; Rates'!$A$2:$B$30,2,FALSE),""))</f>
        <v/>
      </c>
    </row>
    <row r="130">
      <c r="A130" s="32" t="n"/>
      <c r="F130" s="33">
        <f>IF($D130="","",IFERROR(VLOOKUP($D130,'Services &amp; Rates'!$A$2:$B$30,2,FALSE),""))</f>
        <v/>
      </c>
    </row>
    <row r="131">
      <c r="A131" s="32" t="n"/>
      <c r="F131" s="33">
        <f>IF($D131="","",IFERROR(VLOOKUP($D131,'Services &amp; Rates'!$A$2:$B$30,2,FALSE),""))</f>
        <v/>
      </c>
    </row>
    <row r="132">
      <c r="A132" s="32" t="n"/>
      <c r="F132" s="33">
        <f>IF($D132="","",IFERROR(VLOOKUP($D132,'Services &amp; Rates'!$A$2:$B$30,2,FALSE),""))</f>
        <v/>
      </c>
    </row>
    <row r="133">
      <c r="A133" s="32" t="n"/>
      <c r="F133" s="33">
        <f>IF($D133="","",IFERROR(VLOOKUP($D133,'Services &amp; Rates'!$A$2:$B$30,2,FALSE),""))</f>
        <v/>
      </c>
    </row>
    <row r="134">
      <c r="A134" s="32" t="n"/>
      <c r="F134" s="33">
        <f>IF($D134="","",IFERROR(VLOOKUP($D134,'Services &amp; Rates'!$A$2:$B$30,2,FALSE),""))</f>
        <v/>
      </c>
    </row>
    <row r="135">
      <c r="A135" s="32" t="n"/>
      <c r="F135" s="33">
        <f>IF($D135="","",IFERROR(VLOOKUP($D135,'Services &amp; Rates'!$A$2:$B$30,2,FALSE),""))</f>
        <v/>
      </c>
    </row>
    <row r="136">
      <c r="A136" s="32" t="n"/>
      <c r="F136" s="33">
        <f>IF($D136="","",IFERROR(VLOOKUP($D136,'Services &amp; Rates'!$A$2:$B$30,2,FALSE),""))</f>
        <v/>
      </c>
    </row>
    <row r="137">
      <c r="A137" s="32" t="n"/>
      <c r="F137" s="33">
        <f>IF($D137="","",IFERROR(VLOOKUP($D137,'Services &amp; Rates'!$A$2:$B$30,2,FALSE),""))</f>
        <v/>
      </c>
    </row>
    <row r="138">
      <c r="A138" s="32" t="n"/>
      <c r="F138" s="33">
        <f>IF($D138="","",IFERROR(VLOOKUP($D138,'Services &amp; Rates'!$A$2:$B$30,2,FALSE),""))</f>
        <v/>
      </c>
    </row>
    <row r="139">
      <c r="A139" s="32" t="n"/>
      <c r="F139" s="33">
        <f>IF($D139="","",IFERROR(VLOOKUP($D139,'Services &amp; Rates'!$A$2:$B$30,2,FALSE),""))</f>
        <v/>
      </c>
    </row>
    <row r="140">
      <c r="A140" s="32" t="n"/>
      <c r="F140" s="33">
        <f>IF($D140="","",IFERROR(VLOOKUP($D140,'Services &amp; Rates'!$A$2:$B$30,2,FALSE),""))</f>
        <v/>
      </c>
    </row>
    <row r="141">
      <c r="A141" s="32" t="n"/>
      <c r="F141" s="33">
        <f>IF($D141="","",IFERROR(VLOOKUP($D141,'Services &amp; Rates'!$A$2:$B$30,2,FALSE),""))</f>
        <v/>
      </c>
    </row>
    <row r="142">
      <c r="A142" s="32" t="n"/>
      <c r="F142" s="33">
        <f>IF($D142="","",IFERROR(VLOOKUP($D142,'Services &amp; Rates'!$A$2:$B$30,2,FALSE),""))</f>
        <v/>
      </c>
    </row>
    <row r="143">
      <c r="A143" s="32" t="n"/>
      <c r="F143" s="33">
        <f>IF($D143="","",IFERROR(VLOOKUP($D143,'Services &amp; Rates'!$A$2:$B$30,2,FALSE),""))</f>
        <v/>
      </c>
    </row>
    <row r="144">
      <c r="A144" s="32" t="n"/>
      <c r="F144" s="33">
        <f>IF($D144="","",IFERROR(VLOOKUP($D144,'Services &amp; Rates'!$A$2:$B$30,2,FALSE),""))</f>
        <v/>
      </c>
    </row>
    <row r="145">
      <c r="A145" s="32" t="n"/>
      <c r="F145" s="33">
        <f>IF($D145="","",IFERROR(VLOOKUP($D145,'Services &amp; Rates'!$A$2:$B$30,2,FALSE),""))</f>
        <v/>
      </c>
    </row>
    <row r="146">
      <c r="A146" s="32" t="n"/>
      <c r="F146" s="33">
        <f>IF($D146="","",IFERROR(VLOOKUP($D146,'Services &amp; Rates'!$A$2:$B$30,2,FALSE),""))</f>
        <v/>
      </c>
    </row>
    <row r="147">
      <c r="A147" s="32" t="n"/>
      <c r="F147" s="33">
        <f>IF($D147="","",IFERROR(VLOOKUP($D147,'Services &amp; Rates'!$A$2:$B$30,2,FALSE),""))</f>
        <v/>
      </c>
    </row>
    <row r="148">
      <c r="A148" s="32" t="n"/>
      <c r="F148" s="33">
        <f>IF($D148="","",IFERROR(VLOOKUP($D148,'Services &amp; Rates'!$A$2:$B$30,2,FALSE),""))</f>
        <v/>
      </c>
    </row>
    <row r="149">
      <c r="A149" s="32" t="n"/>
      <c r="F149" s="33">
        <f>IF($D149="","",IFERROR(VLOOKUP($D149,'Services &amp; Rates'!$A$2:$B$30,2,FALSE),""))</f>
        <v/>
      </c>
    </row>
    <row r="150">
      <c r="A150" s="32" t="n"/>
      <c r="F150" s="33">
        <f>IF($D150="","",IFERROR(VLOOKUP($D150,'Services &amp; Rates'!$A$2:$B$30,2,FALSE),""))</f>
        <v/>
      </c>
    </row>
    <row r="151">
      <c r="A151" s="32" t="n"/>
      <c r="F151" s="33">
        <f>IF($D151="","",IFERROR(VLOOKUP($D151,'Services &amp; Rates'!$A$2:$B$30,2,FALSE),""))</f>
        <v/>
      </c>
    </row>
    <row r="152">
      <c r="A152" s="32" t="n"/>
      <c r="F152" s="33">
        <f>IF($D152="","",IFERROR(VLOOKUP($D152,'Services &amp; Rates'!$A$2:$B$30,2,FALSE),""))</f>
        <v/>
      </c>
    </row>
    <row r="153">
      <c r="A153" s="32" t="n"/>
      <c r="F153" s="33">
        <f>IF($D153="","",IFERROR(VLOOKUP($D153,'Services &amp; Rates'!$A$2:$B$30,2,FALSE),""))</f>
        <v/>
      </c>
    </row>
    <row r="154">
      <c r="A154" s="32" t="n"/>
      <c r="F154" s="33">
        <f>IF($D154="","",IFERROR(VLOOKUP($D154,'Services &amp; Rates'!$A$2:$B$30,2,FALSE),""))</f>
        <v/>
      </c>
    </row>
    <row r="155">
      <c r="A155" s="32" t="n"/>
      <c r="F155" s="33">
        <f>IF($D155="","",IFERROR(VLOOKUP($D155,'Services &amp; Rates'!$A$2:$B$30,2,FALSE),""))</f>
        <v/>
      </c>
    </row>
    <row r="156">
      <c r="A156" s="32" t="n"/>
      <c r="F156" s="33">
        <f>IF($D156="","",IFERROR(VLOOKUP($D156,'Services &amp; Rates'!$A$2:$B$30,2,FALSE),""))</f>
        <v/>
      </c>
    </row>
    <row r="157">
      <c r="A157" s="32" t="n"/>
      <c r="F157" s="33">
        <f>IF($D157="","",IFERROR(VLOOKUP($D157,'Services &amp; Rates'!$A$2:$B$30,2,FALSE),""))</f>
        <v/>
      </c>
    </row>
    <row r="158">
      <c r="A158" s="32" t="n"/>
      <c r="F158" s="33">
        <f>IF($D158="","",IFERROR(VLOOKUP($D158,'Services &amp; Rates'!$A$2:$B$30,2,FALSE),""))</f>
        <v/>
      </c>
    </row>
    <row r="159">
      <c r="A159" s="32" t="n"/>
      <c r="F159" s="33">
        <f>IF($D159="","",IFERROR(VLOOKUP($D159,'Services &amp; Rates'!$A$2:$B$30,2,FALSE),""))</f>
        <v/>
      </c>
    </row>
    <row r="160">
      <c r="A160" s="32" t="n"/>
      <c r="F160" s="33">
        <f>IF($D160="","",IFERROR(VLOOKUP($D160,'Services &amp; Rates'!$A$2:$B$30,2,FALSE),""))</f>
        <v/>
      </c>
    </row>
    <row r="161">
      <c r="A161" s="32" t="n"/>
      <c r="F161" s="33">
        <f>IF($D161="","",IFERROR(VLOOKUP($D161,'Services &amp; Rates'!$A$2:$B$30,2,FALSE),""))</f>
        <v/>
      </c>
    </row>
    <row r="162">
      <c r="A162" s="32" t="n"/>
      <c r="F162" s="33">
        <f>IF($D162="","",IFERROR(VLOOKUP($D162,'Services &amp; Rates'!$A$2:$B$30,2,FALSE),""))</f>
        <v/>
      </c>
    </row>
    <row r="163">
      <c r="A163" s="32" t="n"/>
      <c r="F163" s="33">
        <f>IF($D163="","",IFERROR(VLOOKUP($D163,'Services &amp; Rates'!$A$2:$B$30,2,FALSE),""))</f>
        <v/>
      </c>
    </row>
    <row r="164">
      <c r="A164" s="32" t="n"/>
      <c r="F164" s="33">
        <f>IF($D164="","",IFERROR(VLOOKUP($D164,'Services &amp; Rates'!$A$2:$B$30,2,FALSE),""))</f>
        <v/>
      </c>
    </row>
    <row r="165">
      <c r="A165" s="32" t="n"/>
      <c r="F165" s="33">
        <f>IF($D165="","",IFERROR(VLOOKUP($D165,'Services &amp; Rates'!$A$2:$B$30,2,FALSE),""))</f>
        <v/>
      </c>
    </row>
    <row r="166">
      <c r="A166" s="32" t="n"/>
      <c r="F166" s="33">
        <f>IF($D166="","",IFERROR(VLOOKUP($D166,'Services &amp; Rates'!$A$2:$B$30,2,FALSE),""))</f>
        <v/>
      </c>
    </row>
    <row r="167">
      <c r="A167" s="32" t="n"/>
      <c r="F167" s="33">
        <f>IF($D167="","",IFERROR(VLOOKUP($D167,'Services &amp; Rates'!$A$2:$B$30,2,FALSE),""))</f>
        <v/>
      </c>
    </row>
    <row r="168">
      <c r="A168" s="32" t="n"/>
      <c r="F168" s="33">
        <f>IF($D168="","",IFERROR(VLOOKUP($D168,'Services &amp; Rates'!$A$2:$B$30,2,FALSE),""))</f>
        <v/>
      </c>
    </row>
    <row r="169">
      <c r="A169" s="32" t="n"/>
      <c r="F169" s="33">
        <f>IF($D169="","",IFERROR(VLOOKUP($D169,'Services &amp; Rates'!$A$2:$B$30,2,FALSE),""))</f>
        <v/>
      </c>
    </row>
    <row r="170">
      <c r="A170" s="32" t="n"/>
      <c r="F170" s="33">
        <f>IF($D170="","",IFERROR(VLOOKUP($D170,'Services &amp; Rates'!$A$2:$B$30,2,FALSE),""))</f>
        <v/>
      </c>
    </row>
    <row r="171">
      <c r="A171" s="32" t="n"/>
      <c r="F171" s="33">
        <f>IF($D171="","",IFERROR(VLOOKUP($D171,'Services &amp; Rates'!$A$2:$B$30,2,FALSE),""))</f>
        <v/>
      </c>
    </row>
    <row r="172">
      <c r="A172" s="32" t="n"/>
      <c r="F172" s="33">
        <f>IF($D172="","",IFERROR(VLOOKUP($D172,'Services &amp; Rates'!$A$2:$B$30,2,FALSE),""))</f>
        <v/>
      </c>
    </row>
    <row r="173">
      <c r="A173" s="32" t="n"/>
      <c r="F173" s="33">
        <f>IF($D173="","",IFERROR(VLOOKUP($D173,'Services &amp; Rates'!$A$2:$B$30,2,FALSE),""))</f>
        <v/>
      </c>
    </row>
    <row r="174">
      <c r="A174" s="32" t="n"/>
      <c r="F174" s="33">
        <f>IF($D174="","",IFERROR(VLOOKUP($D174,'Services &amp; Rates'!$A$2:$B$30,2,FALSE),""))</f>
        <v/>
      </c>
    </row>
    <row r="175">
      <c r="A175" s="32" t="n"/>
      <c r="F175" s="33">
        <f>IF($D175="","",IFERROR(VLOOKUP($D175,'Services &amp; Rates'!$A$2:$B$30,2,FALSE),""))</f>
        <v/>
      </c>
    </row>
    <row r="176">
      <c r="A176" s="32" t="n"/>
      <c r="F176" s="33">
        <f>IF($D176="","",IFERROR(VLOOKUP($D176,'Services &amp; Rates'!$A$2:$B$30,2,FALSE),""))</f>
        <v/>
      </c>
    </row>
    <row r="177">
      <c r="A177" s="32" t="n"/>
      <c r="F177" s="33">
        <f>IF($D177="","",IFERROR(VLOOKUP($D177,'Services &amp; Rates'!$A$2:$B$30,2,FALSE),""))</f>
        <v/>
      </c>
    </row>
    <row r="178">
      <c r="A178" s="32" t="n"/>
      <c r="F178" s="33">
        <f>IF($D178="","",IFERROR(VLOOKUP($D178,'Services &amp; Rates'!$A$2:$B$30,2,FALSE),""))</f>
        <v/>
      </c>
    </row>
    <row r="179">
      <c r="A179" s="32" t="n"/>
      <c r="F179" s="33">
        <f>IF($D179="","",IFERROR(VLOOKUP($D179,'Services &amp; Rates'!$A$2:$B$30,2,FALSE),""))</f>
        <v/>
      </c>
    </row>
    <row r="180">
      <c r="A180" s="32" t="n"/>
      <c r="F180" s="33">
        <f>IF($D180="","",IFERROR(VLOOKUP($D180,'Services &amp; Rates'!$A$2:$B$30,2,FALSE),""))</f>
        <v/>
      </c>
    </row>
    <row r="181">
      <c r="A181" s="32" t="n"/>
      <c r="F181" s="33">
        <f>IF($D181="","",IFERROR(VLOOKUP($D181,'Services &amp; Rates'!$A$2:$B$30,2,FALSE),""))</f>
        <v/>
      </c>
    </row>
    <row r="182">
      <c r="A182" s="32" t="n"/>
      <c r="F182" s="33">
        <f>IF($D182="","",IFERROR(VLOOKUP($D182,'Services &amp; Rates'!$A$2:$B$30,2,FALSE),""))</f>
        <v/>
      </c>
    </row>
    <row r="183">
      <c r="A183" s="32" t="n"/>
      <c r="F183" s="33">
        <f>IF($D183="","",IFERROR(VLOOKUP($D183,'Services &amp; Rates'!$A$2:$B$30,2,FALSE),""))</f>
        <v/>
      </c>
    </row>
    <row r="184">
      <c r="A184" s="32" t="n"/>
      <c r="F184" s="33">
        <f>IF($D184="","",IFERROR(VLOOKUP($D184,'Services &amp; Rates'!$A$2:$B$30,2,FALSE),""))</f>
        <v/>
      </c>
    </row>
    <row r="185">
      <c r="A185" s="32" t="n"/>
      <c r="F185" s="33">
        <f>IF($D185="","",IFERROR(VLOOKUP($D185,'Services &amp; Rates'!$A$2:$B$30,2,FALSE),""))</f>
        <v/>
      </c>
    </row>
    <row r="186">
      <c r="A186" s="32" t="n"/>
      <c r="F186" s="33">
        <f>IF($D186="","",IFERROR(VLOOKUP($D186,'Services &amp; Rates'!$A$2:$B$30,2,FALSE),""))</f>
        <v/>
      </c>
    </row>
    <row r="187">
      <c r="A187" s="32" t="n"/>
      <c r="F187" s="33">
        <f>IF($D187="","",IFERROR(VLOOKUP($D187,'Services &amp; Rates'!$A$2:$B$30,2,FALSE),""))</f>
        <v/>
      </c>
    </row>
    <row r="188">
      <c r="A188" s="32" t="n"/>
      <c r="F188" s="33">
        <f>IF($D188="","",IFERROR(VLOOKUP($D188,'Services &amp; Rates'!$A$2:$B$30,2,FALSE),""))</f>
        <v/>
      </c>
    </row>
    <row r="189">
      <c r="A189" s="32" t="n"/>
      <c r="F189" s="33">
        <f>IF($D189="","",IFERROR(VLOOKUP($D189,'Services &amp; Rates'!$A$2:$B$30,2,FALSE),""))</f>
        <v/>
      </c>
    </row>
    <row r="190">
      <c r="A190" s="32" t="n"/>
      <c r="F190" s="33">
        <f>IF($D190="","",IFERROR(VLOOKUP($D190,'Services &amp; Rates'!$A$2:$B$30,2,FALSE),""))</f>
        <v/>
      </c>
    </row>
    <row r="191">
      <c r="A191" s="32" t="n"/>
      <c r="F191" s="33">
        <f>IF($D191="","",IFERROR(VLOOKUP($D191,'Services &amp; Rates'!$A$2:$B$30,2,FALSE),""))</f>
        <v/>
      </c>
    </row>
    <row r="192">
      <c r="A192" s="32" t="n"/>
      <c r="F192" s="33">
        <f>IF($D192="","",IFERROR(VLOOKUP($D192,'Services &amp; Rates'!$A$2:$B$30,2,FALSE),""))</f>
        <v/>
      </c>
    </row>
    <row r="193">
      <c r="A193" s="32" t="n"/>
      <c r="F193" s="33">
        <f>IF($D193="","",IFERROR(VLOOKUP($D193,'Services &amp; Rates'!$A$2:$B$30,2,FALSE),""))</f>
        <v/>
      </c>
    </row>
    <row r="194">
      <c r="A194" s="32" t="n"/>
      <c r="F194" s="33">
        <f>IF($D194="","",IFERROR(VLOOKUP($D194,'Services &amp; Rates'!$A$2:$B$30,2,FALSE),""))</f>
        <v/>
      </c>
    </row>
    <row r="195">
      <c r="A195" s="32" t="n"/>
      <c r="F195" s="33">
        <f>IF($D195="","",IFERROR(VLOOKUP($D195,'Services &amp; Rates'!$A$2:$B$30,2,FALSE),""))</f>
        <v/>
      </c>
    </row>
    <row r="196">
      <c r="A196" s="32" t="n"/>
      <c r="F196" s="33">
        <f>IF($D196="","",IFERROR(VLOOKUP($D196,'Services &amp; Rates'!$A$2:$B$30,2,FALSE),""))</f>
        <v/>
      </c>
    </row>
    <row r="197">
      <c r="A197" s="32" t="n"/>
      <c r="F197" s="33">
        <f>IF($D197="","",IFERROR(VLOOKUP($D197,'Services &amp; Rates'!$A$2:$B$30,2,FALSE),""))</f>
        <v/>
      </c>
    </row>
    <row r="198">
      <c r="A198" s="32" t="n"/>
      <c r="F198" s="33">
        <f>IF($D198="","",IFERROR(VLOOKUP($D198,'Services &amp; Rates'!$A$2:$B$30,2,FALSE),""))</f>
        <v/>
      </c>
    </row>
    <row r="199">
      <c r="A199" s="32" t="n"/>
      <c r="F199" s="33">
        <f>IF($D199="","",IFERROR(VLOOKUP($D199,'Services &amp; Rates'!$A$2:$B$30,2,FALSE),""))</f>
        <v/>
      </c>
    </row>
    <row r="200">
      <c r="A200" s="32" t="n"/>
      <c r="F200" s="33">
        <f>IF($D200="","",IFERROR(VLOOKUP($D200,'Services &amp; Rates'!$A$2:$B$30,2,FALSE),""))</f>
        <v/>
      </c>
    </row>
    <row r="201">
      <c r="A201" s="32" t="n"/>
      <c r="F201" s="33">
        <f>IF($D201="","",IFERROR(VLOOKUP($D201,'Services &amp; Rates'!$A$2:$B$30,2,FALSE),""))</f>
        <v/>
      </c>
    </row>
    <row r="202">
      <c r="A202" s="32" t="n"/>
      <c r="F202" s="33">
        <f>IF($D202="","",IFERROR(VLOOKUP($D202,'Services &amp; Rates'!$A$2:$B$30,2,FALSE),""))</f>
        <v/>
      </c>
    </row>
    <row r="203">
      <c r="A203" s="32" t="n"/>
      <c r="F203" s="33">
        <f>IF($D203="","",IFERROR(VLOOKUP($D203,'Services &amp; Rates'!$A$2:$B$30,2,FALSE),""))</f>
        <v/>
      </c>
    </row>
    <row r="204">
      <c r="A204" s="32" t="n"/>
      <c r="F204" s="33">
        <f>IF($D204="","",IFERROR(VLOOKUP($D204,'Services &amp; Rates'!$A$2:$B$30,2,FALSE),""))</f>
        <v/>
      </c>
    </row>
    <row r="205">
      <c r="A205" s="32" t="n"/>
      <c r="F205" s="33">
        <f>IF($D205="","",IFERROR(VLOOKUP($D205,'Services &amp; Rates'!$A$2:$B$30,2,FALSE),""))</f>
        <v/>
      </c>
    </row>
    <row r="206">
      <c r="A206" s="32" t="n"/>
      <c r="F206" s="33">
        <f>IF($D206="","",IFERROR(VLOOKUP($D206,'Services &amp; Rates'!$A$2:$B$30,2,FALSE),""))</f>
        <v/>
      </c>
    </row>
    <row r="207">
      <c r="A207" s="32" t="n"/>
      <c r="F207" s="33">
        <f>IF($D207="","",IFERROR(VLOOKUP($D207,'Services &amp; Rates'!$A$2:$B$30,2,FALSE),""))</f>
        <v/>
      </c>
    </row>
    <row r="208">
      <c r="A208" s="32" t="n"/>
      <c r="F208" s="33">
        <f>IF($D208="","",IFERROR(VLOOKUP($D208,'Services &amp; Rates'!$A$2:$B$30,2,FALSE),""))</f>
        <v/>
      </c>
    </row>
    <row r="209">
      <c r="A209" s="32" t="n"/>
      <c r="F209" s="33">
        <f>IF($D209="","",IFERROR(VLOOKUP($D209,'Services &amp; Rates'!$A$2:$B$30,2,FALSE),""))</f>
        <v/>
      </c>
    </row>
    <row r="210">
      <c r="A210" s="32" t="n"/>
      <c r="F210" s="33">
        <f>IF($D210="","",IFERROR(VLOOKUP($D210,'Services &amp; Rates'!$A$2:$B$30,2,FALSE),""))</f>
        <v/>
      </c>
    </row>
    <row r="211">
      <c r="A211" s="32" t="n"/>
      <c r="F211" s="33">
        <f>IF($D211="","",IFERROR(VLOOKUP($D211,'Services &amp; Rates'!$A$2:$B$30,2,FALSE),""))</f>
        <v/>
      </c>
    </row>
    <row r="212">
      <c r="A212" s="32" t="n"/>
      <c r="F212" s="33">
        <f>IF($D212="","",IFERROR(VLOOKUP($D212,'Services &amp; Rates'!$A$2:$B$30,2,FALSE),""))</f>
        <v/>
      </c>
    </row>
    <row r="213">
      <c r="A213" s="32" t="n"/>
      <c r="F213" s="33">
        <f>IF($D213="","",IFERROR(VLOOKUP($D213,'Services &amp; Rates'!$A$2:$B$30,2,FALSE),""))</f>
        <v/>
      </c>
    </row>
    <row r="214">
      <c r="A214" s="32" t="n"/>
      <c r="F214" s="33">
        <f>IF($D214="","",IFERROR(VLOOKUP($D214,'Services &amp; Rates'!$A$2:$B$30,2,FALSE),""))</f>
        <v/>
      </c>
    </row>
    <row r="215">
      <c r="A215" s="32" t="n"/>
      <c r="F215" s="33">
        <f>IF($D215="","",IFERROR(VLOOKUP($D215,'Services &amp; Rates'!$A$2:$B$30,2,FALSE),""))</f>
        <v/>
      </c>
    </row>
    <row r="216">
      <c r="A216" s="32" t="n"/>
      <c r="F216" s="33">
        <f>IF($D216="","",IFERROR(VLOOKUP($D216,'Services &amp; Rates'!$A$2:$B$30,2,FALSE),""))</f>
        <v/>
      </c>
    </row>
    <row r="217">
      <c r="A217" s="32" t="n"/>
      <c r="F217" s="33">
        <f>IF($D217="","",IFERROR(VLOOKUP($D217,'Services &amp; Rates'!$A$2:$B$30,2,FALSE),""))</f>
        <v/>
      </c>
    </row>
    <row r="218">
      <c r="A218" s="32" t="n"/>
      <c r="F218" s="33">
        <f>IF($D218="","",IFERROR(VLOOKUP($D218,'Services &amp; Rates'!$A$2:$B$30,2,FALSE),""))</f>
        <v/>
      </c>
    </row>
    <row r="219">
      <c r="A219" s="32" t="n"/>
      <c r="F219" s="33">
        <f>IF($D219="","",IFERROR(VLOOKUP($D219,'Services &amp; Rates'!$A$2:$B$30,2,FALSE),""))</f>
        <v/>
      </c>
    </row>
    <row r="220">
      <c r="A220" s="32" t="n"/>
      <c r="F220" s="33">
        <f>IF($D220="","",IFERROR(VLOOKUP($D220,'Services &amp; Rates'!$A$2:$B$30,2,FALSE),""))</f>
        <v/>
      </c>
    </row>
    <row r="221">
      <c r="A221" s="32" t="n"/>
      <c r="F221" s="33">
        <f>IF($D221="","",IFERROR(VLOOKUP($D221,'Services &amp; Rates'!$A$2:$B$30,2,FALSE),""))</f>
        <v/>
      </c>
    </row>
    <row r="222">
      <c r="A222" s="32" t="n"/>
      <c r="F222" s="33">
        <f>IF($D222="","",IFERROR(VLOOKUP($D222,'Services &amp; Rates'!$A$2:$B$30,2,FALSE),""))</f>
        <v/>
      </c>
    </row>
    <row r="223">
      <c r="A223" s="32" t="n"/>
      <c r="F223" s="33">
        <f>IF($D223="","",IFERROR(VLOOKUP($D223,'Services &amp; Rates'!$A$2:$B$30,2,FALSE),""))</f>
        <v/>
      </c>
    </row>
    <row r="224">
      <c r="A224" s="32" t="n"/>
      <c r="F224" s="33">
        <f>IF($D224="","",IFERROR(VLOOKUP($D224,'Services &amp; Rates'!$A$2:$B$30,2,FALSE),""))</f>
        <v/>
      </c>
    </row>
    <row r="225">
      <c r="A225" s="32" t="n"/>
      <c r="F225" s="33">
        <f>IF($D225="","",IFERROR(VLOOKUP($D225,'Services &amp; Rates'!$A$2:$B$30,2,FALSE),""))</f>
        <v/>
      </c>
    </row>
    <row r="226">
      <c r="A226" s="32" t="n"/>
      <c r="F226" s="33">
        <f>IF($D226="","",IFERROR(VLOOKUP($D226,'Services &amp; Rates'!$A$2:$B$30,2,FALSE),""))</f>
        <v/>
      </c>
    </row>
    <row r="227">
      <c r="A227" s="32" t="n"/>
      <c r="F227" s="33">
        <f>IF($D227="","",IFERROR(VLOOKUP($D227,'Services &amp; Rates'!$A$2:$B$30,2,FALSE),""))</f>
        <v/>
      </c>
    </row>
    <row r="228">
      <c r="A228" s="32" t="n"/>
      <c r="F228" s="33">
        <f>IF($D228="","",IFERROR(VLOOKUP($D228,'Services &amp; Rates'!$A$2:$B$30,2,FALSE),""))</f>
        <v/>
      </c>
    </row>
    <row r="229">
      <c r="A229" s="32" t="n"/>
      <c r="F229" s="33">
        <f>IF($D229="","",IFERROR(VLOOKUP($D229,'Services &amp; Rates'!$A$2:$B$30,2,FALSE),""))</f>
        <v/>
      </c>
    </row>
    <row r="230">
      <c r="A230" s="32" t="n"/>
      <c r="F230" s="33">
        <f>IF($D230="","",IFERROR(VLOOKUP($D230,'Services &amp; Rates'!$A$2:$B$30,2,FALSE),""))</f>
        <v/>
      </c>
    </row>
    <row r="231">
      <c r="A231" s="32" t="n"/>
      <c r="F231" s="33">
        <f>IF($D231="","",IFERROR(VLOOKUP($D231,'Services &amp; Rates'!$A$2:$B$30,2,FALSE),""))</f>
        <v/>
      </c>
    </row>
    <row r="232">
      <c r="A232" s="32" t="n"/>
      <c r="F232" s="33">
        <f>IF($D232="","",IFERROR(VLOOKUP($D232,'Services &amp; Rates'!$A$2:$B$30,2,FALSE),""))</f>
        <v/>
      </c>
    </row>
    <row r="233">
      <c r="A233" s="32" t="n"/>
      <c r="F233" s="33">
        <f>IF($D233="","",IFERROR(VLOOKUP($D233,'Services &amp; Rates'!$A$2:$B$30,2,FALSE),""))</f>
        <v/>
      </c>
    </row>
    <row r="234">
      <c r="A234" s="32" t="n"/>
      <c r="F234" s="33">
        <f>IF($D234="","",IFERROR(VLOOKUP($D234,'Services &amp; Rates'!$A$2:$B$30,2,FALSE),""))</f>
        <v/>
      </c>
    </row>
    <row r="235">
      <c r="A235" s="32" t="n"/>
      <c r="F235" s="33">
        <f>IF($D235="","",IFERROR(VLOOKUP($D235,'Services &amp; Rates'!$A$2:$B$30,2,FALSE),""))</f>
        <v/>
      </c>
    </row>
    <row r="236">
      <c r="A236" s="32" t="n"/>
      <c r="F236" s="33">
        <f>IF($D236="","",IFERROR(VLOOKUP($D236,'Services &amp; Rates'!$A$2:$B$30,2,FALSE),""))</f>
        <v/>
      </c>
    </row>
    <row r="237">
      <c r="A237" s="32" t="n"/>
      <c r="F237" s="33">
        <f>IF($D237="","",IFERROR(VLOOKUP($D237,'Services &amp; Rates'!$A$2:$B$30,2,FALSE),""))</f>
        <v/>
      </c>
    </row>
    <row r="238">
      <c r="A238" s="32" t="n"/>
      <c r="F238" s="33">
        <f>IF($D238="","",IFERROR(VLOOKUP($D238,'Services &amp; Rates'!$A$2:$B$30,2,FALSE),""))</f>
        <v/>
      </c>
    </row>
    <row r="239">
      <c r="A239" s="32" t="n"/>
      <c r="F239" s="33">
        <f>IF($D239="","",IFERROR(VLOOKUP($D239,'Services &amp; Rates'!$A$2:$B$30,2,FALSE),""))</f>
        <v/>
      </c>
    </row>
    <row r="240">
      <c r="A240" s="32" t="n"/>
      <c r="F240" s="33">
        <f>IF($D240="","",IFERROR(VLOOKUP($D240,'Services &amp; Rates'!$A$2:$B$30,2,FALSE),""))</f>
        <v/>
      </c>
    </row>
    <row r="241">
      <c r="A241" s="32" t="n"/>
      <c r="F241" s="33">
        <f>IF($D241="","",IFERROR(VLOOKUP($D241,'Services &amp; Rates'!$A$2:$B$30,2,FALSE),""))</f>
        <v/>
      </c>
    </row>
    <row r="242">
      <c r="A242" s="32" t="n"/>
      <c r="F242" s="33">
        <f>IF($D242="","",IFERROR(VLOOKUP($D242,'Services &amp; Rates'!$A$2:$B$30,2,FALSE),""))</f>
        <v/>
      </c>
    </row>
    <row r="243">
      <c r="A243" s="32" t="n"/>
      <c r="F243" s="33">
        <f>IF($D243="","",IFERROR(VLOOKUP($D243,'Services &amp; Rates'!$A$2:$B$30,2,FALSE),""))</f>
        <v/>
      </c>
    </row>
    <row r="244">
      <c r="A244" s="32" t="n"/>
      <c r="F244" s="33">
        <f>IF($D244="","",IFERROR(VLOOKUP($D244,'Services &amp; Rates'!$A$2:$B$30,2,FALSE),""))</f>
        <v/>
      </c>
    </row>
    <row r="245">
      <c r="A245" s="32" t="n"/>
      <c r="F245" s="33">
        <f>IF($D245="","",IFERROR(VLOOKUP($D245,'Services &amp; Rates'!$A$2:$B$30,2,FALSE),""))</f>
        <v/>
      </c>
    </row>
    <row r="246">
      <c r="A246" s="32" t="n"/>
      <c r="F246" s="33">
        <f>IF($D246="","",IFERROR(VLOOKUP($D246,'Services &amp; Rates'!$A$2:$B$30,2,FALSE),""))</f>
        <v/>
      </c>
    </row>
    <row r="247">
      <c r="A247" s="32" t="n"/>
      <c r="F247" s="33">
        <f>IF($D247="","",IFERROR(VLOOKUP($D247,'Services &amp; Rates'!$A$2:$B$30,2,FALSE),""))</f>
        <v/>
      </c>
    </row>
    <row r="248">
      <c r="A248" s="32" t="n"/>
      <c r="F248" s="33">
        <f>IF($D248="","",IFERROR(VLOOKUP($D248,'Services &amp; Rates'!$A$2:$B$30,2,FALSE),""))</f>
        <v/>
      </c>
    </row>
    <row r="249">
      <c r="A249" s="32" t="n"/>
      <c r="F249" s="33">
        <f>IF($D249="","",IFERROR(VLOOKUP($D249,'Services &amp; Rates'!$A$2:$B$30,2,FALSE),""))</f>
        <v/>
      </c>
    </row>
    <row r="250">
      <c r="A250" s="32" t="n"/>
      <c r="F250" s="33">
        <f>IF($D250="","",IFERROR(VLOOKUP($D250,'Services &amp; Rates'!$A$2:$B$30,2,FALSE),""))</f>
        <v/>
      </c>
    </row>
  </sheetData>
  <conditionalFormatting sqref="A2:I250">
    <cfRule type="expression" priority="1" dxfId="2" stopIfTrue="1">
      <formula>AND($G2="Done",$H2&lt;&gt;"Yes")</formula>
    </cfRule>
    <cfRule type="expression" priority="2" dxfId="3" stopIfTrue="1">
      <formula>$A2=TODAY()</formula>
    </cfRule>
  </conditionalFormatting>
  <dataValidations count="5">
    <dataValidation sqref="B2:B250" showDropDown="0" showInputMessage="0" showErrorMessage="0" allowBlank="1" type="list">
      <formula1>ClientList</formula1>
    </dataValidation>
    <dataValidation sqref="D2:D250" showDropDown="0" showInputMessage="0" showErrorMessage="0" allowBlank="1" type="list">
      <formula1>ServiceList</formula1>
    </dataValidation>
    <dataValidation sqref="E2:E250" showDropDown="0" showInputMessage="0" showErrorMessage="0" allowBlank="1" type="list">
      <formula1>"Weekly,Biweekly,One-off"</formula1>
    </dataValidation>
    <dataValidation sqref="G2:G250" showDropDown="0" showInputMessage="0" showErrorMessage="0" allowBlank="1" type="list">
      <formula1>"Booked,Done,Cancelled"</formula1>
    </dataValidation>
    <dataValidation sqref="H2:H250"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tabColor rgb="009CB49A"/>
    <outlinePr summaryBelow="1" summaryRight="1"/>
    <pageSetUpPr/>
  </sheetPr>
  <dimension ref="A1:J100"/>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13" customWidth="1" min="3" max="3"/>
    <col width="13" customWidth="1" min="4" max="4"/>
    <col width="15" customWidth="1" min="5" max="5"/>
    <col width="15" customWidth="1" min="6" max="6"/>
    <col width="12" customWidth="1" min="7" max="7"/>
    <col width="12" customWidth="1" min="8" max="8"/>
    <col width="11" customWidth="1" min="9" max="9"/>
    <col width="30" customWidth="1" min="10" max="10"/>
  </cols>
  <sheetData>
    <row r="1" ht="26" customHeight="1">
      <c r="A1" s="28" t="inlineStr">
        <is>
          <t>Invoice #</t>
        </is>
      </c>
      <c r="B1" s="28" t="inlineStr">
        <is>
          <t>Client</t>
        </is>
      </c>
      <c r="C1" s="28" t="inlineStr">
        <is>
          <t>Period Start</t>
        </is>
      </c>
      <c r="D1" s="28" t="inlineStr">
        <is>
          <t>Period End</t>
        </is>
      </c>
      <c r="E1" s="28" t="inlineStr">
        <is>
          <t>Invoice Total ($)</t>
        </is>
      </c>
      <c r="F1" s="28" t="inlineStr">
        <is>
          <t>Balance Due ($)</t>
        </is>
      </c>
      <c r="G1" s="28" t="inlineStr">
        <is>
          <t>Date Sent</t>
        </is>
      </c>
      <c r="H1" s="28" t="inlineStr">
        <is>
          <t>Date Paid</t>
        </is>
      </c>
      <c r="I1" s="28" t="inlineStr">
        <is>
          <t>Status</t>
        </is>
      </c>
      <c r="J1" s="28" t="inlineStr">
        <is>
          <t>Notes</t>
        </is>
      </c>
    </row>
    <row r="2">
      <c r="A2" s="29" t="inlineStr">
        <is>
          <t>INV-1001</t>
        </is>
      </c>
      <c r="B2" s="29" t="inlineStr">
        <is>
          <t>Sarah Mitchell</t>
        </is>
      </c>
      <c r="C2" s="30">
        <f>TODAY()-14</f>
        <v/>
      </c>
      <c r="D2" s="30">
        <f>TODAY()-5</f>
        <v/>
      </c>
      <c r="E2" s="31">
        <f>IF(OR($B2="",$C2="",$D2=""),"",SUMIFS('Visit Schedule'!$F:$F,'Visit Schedule'!$B:$B,$B2,'Visit Schedule'!$G:$G,"Done",'Visit Schedule'!$A:$A,"&gt;="&amp;$C2,'Visit Schedule'!$A:$A,"&lt;="&amp;$D2))</f>
        <v/>
      </c>
      <c r="F2" s="31">
        <f>IF(OR($B2="",$C2="",$D2=""),"",SUMIFS('Visit Schedule'!$F:$F,'Visit Schedule'!$B:$B,$B2,'Visit Schedule'!$G:$G,"Done",'Visit Schedule'!$A:$A,"&gt;="&amp;$C2,'Visit Schedule'!$A:$A,"&lt;="&amp;$D2,'Visit Schedule'!$H:$H,"&lt;&gt;Yes"))</f>
        <v/>
      </c>
      <c r="G2" s="30">
        <f>TODAY()-4</f>
        <v/>
      </c>
      <c r="H2" s="30">
        <f>TODAY()-2</f>
        <v/>
      </c>
      <c r="I2" s="29" t="inlineStr">
        <is>
          <t>Paid</t>
        </is>
      </c>
      <c r="J2" s="29" t="inlineStr">
        <is>
          <t>SAMPLE ROW — delete me</t>
        </is>
      </c>
    </row>
    <row r="3">
      <c r="A3" s="29" t="inlineStr">
        <is>
          <t>INV-1002</t>
        </is>
      </c>
      <c r="B3" s="29" t="inlineStr">
        <is>
          <t>Dana Whitfield</t>
        </is>
      </c>
      <c r="C3" s="30">
        <f>TODAY()-6</f>
        <v/>
      </c>
      <c r="D3" s="30">
        <f>TODAY()+0</f>
        <v/>
      </c>
      <c r="E3" s="31">
        <f>IF(OR($B3="",$C3="",$D3=""),"",SUMIFS('Visit Schedule'!$F:$F,'Visit Schedule'!$B:$B,$B3,'Visit Schedule'!$G:$G,"Done",'Visit Schedule'!$A:$A,"&gt;="&amp;$C3,'Visit Schedule'!$A:$A,"&lt;="&amp;$D3))</f>
        <v/>
      </c>
      <c r="F3" s="31">
        <f>IF(OR($B3="",$C3="",$D3=""),"",SUMIFS('Visit Schedule'!$F:$F,'Visit Schedule'!$B:$B,$B3,'Visit Schedule'!$G:$G,"Done",'Visit Schedule'!$A:$A,"&gt;="&amp;$C3,'Visit Schedule'!$A:$A,"&lt;="&amp;$D3,'Visit Schedule'!$H:$H,"&lt;&gt;Yes"))</f>
        <v/>
      </c>
      <c r="G3" s="30">
        <f>TODAY()+0</f>
        <v/>
      </c>
      <c r="H3" s="30" t="n"/>
      <c r="I3" s="29" t="inlineStr">
        <is>
          <t>Sent</t>
        </is>
      </c>
      <c r="J3" s="29" t="inlineStr">
        <is>
          <t>SAMPLE ROW — delete me</t>
        </is>
      </c>
    </row>
    <row r="4">
      <c r="A4" s="29" t="inlineStr">
        <is>
          <t>INV-1003</t>
        </is>
      </c>
      <c r="B4" s="29" t="inlineStr">
        <is>
          <t>Marcus Lee</t>
        </is>
      </c>
      <c r="C4" s="30">
        <f>TODAY()-20</f>
        <v/>
      </c>
      <c r="D4" s="30">
        <f>TODAY()-8</f>
        <v/>
      </c>
      <c r="E4" s="31">
        <f>IF(OR($B4="",$C4="",$D4=""),"",SUMIFS('Visit Schedule'!$F:$F,'Visit Schedule'!$B:$B,$B4,'Visit Schedule'!$G:$G,"Done",'Visit Schedule'!$A:$A,"&gt;="&amp;$C4,'Visit Schedule'!$A:$A,"&lt;="&amp;$D4))</f>
        <v/>
      </c>
      <c r="F4" s="31">
        <f>IF(OR($B4="",$C4="",$D4=""),"",SUMIFS('Visit Schedule'!$F:$F,'Visit Schedule'!$B:$B,$B4,'Visit Schedule'!$G:$G,"Done",'Visit Schedule'!$A:$A,"&gt;="&amp;$C4,'Visit Schedule'!$A:$A,"&lt;="&amp;$D4,'Visit Schedule'!$H:$H,"&lt;&gt;Yes"))</f>
        <v/>
      </c>
      <c r="G4" s="30">
        <f>TODAY()-18</f>
        <v/>
      </c>
      <c r="H4" s="30" t="n"/>
      <c r="I4" s="29" t="inlineStr">
        <is>
          <t>Overdue</t>
        </is>
      </c>
      <c r="J4" s="29" t="inlineStr">
        <is>
          <t>SAMPLE ROW — delete me</t>
        </is>
      </c>
    </row>
    <row r="5">
      <c r="C5" s="32" t="n"/>
      <c r="D5" s="32" t="n"/>
      <c r="E5" s="33">
        <f>IF(OR($B5="",$C5="",$D5=""),"",SUMIFS('Visit Schedule'!$F:$F,'Visit Schedule'!$B:$B,$B5,'Visit Schedule'!$G:$G,"Done",'Visit Schedule'!$A:$A,"&gt;="&amp;$C5,'Visit Schedule'!$A:$A,"&lt;="&amp;$D5))</f>
        <v/>
      </c>
      <c r="F5" s="33">
        <f>IF(OR($B5="",$C5="",$D5=""),"",SUMIFS('Visit Schedule'!$F:$F,'Visit Schedule'!$B:$B,$B5,'Visit Schedule'!$G:$G,"Done",'Visit Schedule'!$A:$A,"&gt;="&amp;$C5,'Visit Schedule'!$A:$A,"&lt;="&amp;$D5,'Visit Schedule'!$H:$H,"&lt;&gt;Yes"))</f>
        <v/>
      </c>
      <c r="G5" s="32" t="n"/>
      <c r="H5" s="32" t="n"/>
    </row>
    <row r="6">
      <c r="C6" s="32" t="n"/>
      <c r="D6" s="32" t="n"/>
      <c r="E6" s="33">
        <f>IF(OR($B6="",$C6="",$D6=""),"",SUMIFS('Visit Schedule'!$F:$F,'Visit Schedule'!$B:$B,$B6,'Visit Schedule'!$G:$G,"Done",'Visit Schedule'!$A:$A,"&gt;="&amp;$C6,'Visit Schedule'!$A:$A,"&lt;="&amp;$D6))</f>
        <v/>
      </c>
      <c r="F6" s="33">
        <f>IF(OR($B6="",$C6="",$D6=""),"",SUMIFS('Visit Schedule'!$F:$F,'Visit Schedule'!$B:$B,$B6,'Visit Schedule'!$G:$G,"Done",'Visit Schedule'!$A:$A,"&gt;="&amp;$C6,'Visit Schedule'!$A:$A,"&lt;="&amp;$D6,'Visit Schedule'!$H:$H,"&lt;&gt;Yes"))</f>
        <v/>
      </c>
      <c r="G6" s="32" t="n"/>
      <c r="H6" s="32" t="n"/>
    </row>
    <row r="7">
      <c r="C7" s="32" t="n"/>
      <c r="D7" s="32" t="n"/>
      <c r="E7" s="33">
        <f>IF(OR($B7="",$C7="",$D7=""),"",SUMIFS('Visit Schedule'!$F:$F,'Visit Schedule'!$B:$B,$B7,'Visit Schedule'!$G:$G,"Done",'Visit Schedule'!$A:$A,"&gt;="&amp;$C7,'Visit Schedule'!$A:$A,"&lt;="&amp;$D7))</f>
        <v/>
      </c>
      <c r="F7" s="33">
        <f>IF(OR($B7="",$C7="",$D7=""),"",SUMIFS('Visit Schedule'!$F:$F,'Visit Schedule'!$B:$B,$B7,'Visit Schedule'!$G:$G,"Done",'Visit Schedule'!$A:$A,"&gt;="&amp;$C7,'Visit Schedule'!$A:$A,"&lt;="&amp;$D7,'Visit Schedule'!$H:$H,"&lt;&gt;Yes"))</f>
        <v/>
      </c>
      <c r="G7" s="32" t="n"/>
      <c r="H7" s="32" t="n"/>
    </row>
    <row r="8">
      <c r="C8" s="32" t="n"/>
      <c r="D8" s="32" t="n"/>
      <c r="E8" s="33">
        <f>IF(OR($B8="",$C8="",$D8=""),"",SUMIFS('Visit Schedule'!$F:$F,'Visit Schedule'!$B:$B,$B8,'Visit Schedule'!$G:$G,"Done",'Visit Schedule'!$A:$A,"&gt;="&amp;$C8,'Visit Schedule'!$A:$A,"&lt;="&amp;$D8))</f>
        <v/>
      </c>
      <c r="F8" s="33">
        <f>IF(OR($B8="",$C8="",$D8=""),"",SUMIFS('Visit Schedule'!$F:$F,'Visit Schedule'!$B:$B,$B8,'Visit Schedule'!$G:$G,"Done",'Visit Schedule'!$A:$A,"&gt;="&amp;$C8,'Visit Schedule'!$A:$A,"&lt;="&amp;$D8,'Visit Schedule'!$H:$H,"&lt;&gt;Yes"))</f>
        <v/>
      </c>
      <c r="G8" s="32" t="n"/>
      <c r="H8" s="32" t="n"/>
    </row>
    <row r="9">
      <c r="C9" s="32" t="n"/>
      <c r="D9" s="32" t="n"/>
      <c r="E9" s="33">
        <f>IF(OR($B9="",$C9="",$D9=""),"",SUMIFS('Visit Schedule'!$F:$F,'Visit Schedule'!$B:$B,$B9,'Visit Schedule'!$G:$G,"Done",'Visit Schedule'!$A:$A,"&gt;="&amp;$C9,'Visit Schedule'!$A:$A,"&lt;="&amp;$D9))</f>
        <v/>
      </c>
      <c r="F9" s="33">
        <f>IF(OR($B9="",$C9="",$D9=""),"",SUMIFS('Visit Schedule'!$F:$F,'Visit Schedule'!$B:$B,$B9,'Visit Schedule'!$G:$G,"Done",'Visit Schedule'!$A:$A,"&gt;="&amp;$C9,'Visit Schedule'!$A:$A,"&lt;="&amp;$D9,'Visit Schedule'!$H:$H,"&lt;&gt;Yes"))</f>
        <v/>
      </c>
      <c r="G9" s="32" t="n"/>
      <c r="H9" s="32" t="n"/>
    </row>
    <row r="10">
      <c r="C10" s="32" t="n"/>
      <c r="D10" s="32" t="n"/>
      <c r="E10" s="33">
        <f>IF(OR($B10="",$C10="",$D10=""),"",SUMIFS('Visit Schedule'!$F:$F,'Visit Schedule'!$B:$B,$B10,'Visit Schedule'!$G:$G,"Done",'Visit Schedule'!$A:$A,"&gt;="&amp;$C10,'Visit Schedule'!$A:$A,"&lt;="&amp;$D10))</f>
        <v/>
      </c>
      <c r="F10" s="33">
        <f>IF(OR($B10="",$C10="",$D10=""),"",SUMIFS('Visit Schedule'!$F:$F,'Visit Schedule'!$B:$B,$B10,'Visit Schedule'!$G:$G,"Done",'Visit Schedule'!$A:$A,"&gt;="&amp;$C10,'Visit Schedule'!$A:$A,"&lt;="&amp;$D10,'Visit Schedule'!$H:$H,"&lt;&gt;Yes"))</f>
        <v/>
      </c>
      <c r="G10" s="32" t="n"/>
      <c r="H10" s="32" t="n"/>
    </row>
    <row r="11">
      <c r="C11" s="32" t="n"/>
      <c r="D11" s="32" t="n"/>
      <c r="E11" s="33">
        <f>IF(OR($B11="",$C11="",$D11=""),"",SUMIFS('Visit Schedule'!$F:$F,'Visit Schedule'!$B:$B,$B11,'Visit Schedule'!$G:$G,"Done",'Visit Schedule'!$A:$A,"&gt;="&amp;$C11,'Visit Schedule'!$A:$A,"&lt;="&amp;$D11))</f>
        <v/>
      </c>
      <c r="F11" s="33">
        <f>IF(OR($B11="",$C11="",$D11=""),"",SUMIFS('Visit Schedule'!$F:$F,'Visit Schedule'!$B:$B,$B11,'Visit Schedule'!$G:$G,"Done",'Visit Schedule'!$A:$A,"&gt;="&amp;$C11,'Visit Schedule'!$A:$A,"&lt;="&amp;$D11,'Visit Schedule'!$H:$H,"&lt;&gt;Yes"))</f>
        <v/>
      </c>
      <c r="G11" s="32" t="n"/>
      <c r="H11" s="32" t="n"/>
    </row>
    <row r="12">
      <c r="C12" s="32" t="n"/>
      <c r="D12" s="32" t="n"/>
      <c r="E12" s="33">
        <f>IF(OR($B12="",$C12="",$D12=""),"",SUMIFS('Visit Schedule'!$F:$F,'Visit Schedule'!$B:$B,$B12,'Visit Schedule'!$G:$G,"Done",'Visit Schedule'!$A:$A,"&gt;="&amp;$C12,'Visit Schedule'!$A:$A,"&lt;="&amp;$D12))</f>
        <v/>
      </c>
      <c r="F12" s="33">
        <f>IF(OR($B12="",$C12="",$D12=""),"",SUMIFS('Visit Schedule'!$F:$F,'Visit Schedule'!$B:$B,$B12,'Visit Schedule'!$G:$G,"Done",'Visit Schedule'!$A:$A,"&gt;="&amp;$C12,'Visit Schedule'!$A:$A,"&lt;="&amp;$D12,'Visit Schedule'!$H:$H,"&lt;&gt;Yes"))</f>
        <v/>
      </c>
      <c r="G12" s="32" t="n"/>
      <c r="H12" s="32" t="n"/>
    </row>
    <row r="13">
      <c r="C13" s="32" t="n"/>
      <c r="D13" s="32" t="n"/>
      <c r="E13" s="33">
        <f>IF(OR($B13="",$C13="",$D13=""),"",SUMIFS('Visit Schedule'!$F:$F,'Visit Schedule'!$B:$B,$B13,'Visit Schedule'!$G:$G,"Done",'Visit Schedule'!$A:$A,"&gt;="&amp;$C13,'Visit Schedule'!$A:$A,"&lt;="&amp;$D13))</f>
        <v/>
      </c>
      <c r="F13" s="33">
        <f>IF(OR($B13="",$C13="",$D13=""),"",SUMIFS('Visit Schedule'!$F:$F,'Visit Schedule'!$B:$B,$B13,'Visit Schedule'!$G:$G,"Done",'Visit Schedule'!$A:$A,"&gt;="&amp;$C13,'Visit Schedule'!$A:$A,"&lt;="&amp;$D13,'Visit Schedule'!$H:$H,"&lt;&gt;Yes"))</f>
        <v/>
      </c>
      <c r="G13" s="32" t="n"/>
      <c r="H13" s="32" t="n"/>
    </row>
    <row r="14">
      <c r="C14" s="32" t="n"/>
      <c r="D14" s="32" t="n"/>
      <c r="E14" s="33">
        <f>IF(OR($B14="",$C14="",$D14=""),"",SUMIFS('Visit Schedule'!$F:$F,'Visit Schedule'!$B:$B,$B14,'Visit Schedule'!$G:$G,"Done",'Visit Schedule'!$A:$A,"&gt;="&amp;$C14,'Visit Schedule'!$A:$A,"&lt;="&amp;$D14))</f>
        <v/>
      </c>
      <c r="F14" s="33">
        <f>IF(OR($B14="",$C14="",$D14=""),"",SUMIFS('Visit Schedule'!$F:$F,'Visit Schedule'!$B:$B,$B14,'Visit Schedule'!$G:$G,"Done",'Visit Schedule'!$A:$A,"&gt;="&amp;$C14,'Visit Schedule'!$A:$A,"&lt;="&amp;$D14,'Visit Schedule'!$H:$H,"&lt;&gt;Yes"))</f>
        <v/>
      </c>
      <c r="G14" s="32" t="n"/>
      <c r="H14" s="32" t="n"/>
    </row>
    <row r="15">
      <c r="C15" s="32" t="n"/>
      <c r="D15" s="32" t="n"/>
      <c r="E15" s="33">
        <f>IF(OR($B15="",$C15="",$D15=""),"",SUMIFS('Visit Schedule'!$F:$F,'Visit Schedule'!$B:$B,$B15,'Visit Schedule'!$G:$G,"Done",'Visit Schedule'!$A:$A,"&gt;="&amp;$C15,'Visit Schedule'!$A:$A,"&lt;="&amp;$D15))</f>
        <v/>
      </c>
      <c r="F15" s="33">
        <f>IF(OR($B15="",$C15="",$D15=""),"",SUMIFS('Visit Schedule'!$F:$F,'Visit Schedule'!$B:$B,$B15,'Visit Schedule'!$G:$G,"Done",'Visit Schedule'!$A:$A,"&gt;="&amp;$C15,'Visit Schedule'!$A:$A,"&lt;="&amp;$D15,'Visit Schedule'!$H:$H,"&lt;&gt;Yes"))</f>
        <v/>
      </c>
      <c r="G15" s="32" t="n"/>
      <c r="H15" s="32" t="n"/>
    </row>
    <row r="16">
      <c r="C16" s="32" t="n"/>
      <c r="D16" s="32" t="n"/>
      <c r="E16" s="33">
        <f>IF(OR($B16="",$C16="",$D16=""),"",SUMIFS('Visit Schedule'!$F:$F,'Visit Schedule'!$B:$B,$B16,'Visit Schedule'!$G:$G,"Done",'Visit Schedule'!$A:$A,"&gt;="&amp;$C16,'Visit Schedule'!$A:$A,"&lt;="&amp;$D16))</f>
        <v/>
      </c>
      <c r="F16" s="33">
        <f>IF(OR($B16="",$C16="",$D16=""),"",SUMIFS('Visit Schedule'!$F:$F,'Visit Schedule'!$B:$B,$B16,'Visit Schedule'!$G:$G,"Done",'Visit Schedule'!$A:$A,"&gt;="&amp;$C16,'Visit Schedule'!$A:$A,"&lt;="&amp;$D16,'Visit Schedule'!$H:$H,"&lt;&gt;Yes"))</f>
        <v/>
      </c>
      <c r="G16" s="32" t="n"/>
      <c r="H16" s="32" t="n"/>
    </row>
    <row r="17">
      <c r="C17" s="32" t="n"/>
      <c r="D17" s="32" t="n"/>
      <c r="E17" s="33">
        <f>IF(OR($B17="",$C17="",$D17=""),"",SUMIFS('Visit Schedule'!$F:$F,'Visit Schedule'!$B:$B,$B17,'Visit Schedule'!$G:$G,"Done",'Visit Schedule'!$A:$A,"&gt;="&amp;$C17,'Visit Schedule'!$A:$A,"&lt;="&amp;$D17))</f>
        <v/>
      </c>
      <c r="F17" s="33">
        <f>IF(OR($B17="",$C17="",$D17=""),"",SUMIFS('Visit Schedule'!$F:$F,'Visit Schedule'!$B:$B,$B17,'Visit Schedule'!$G:$G,"Done",'Visit Schedule'!$A:$A,"&gt;="&amp;$C17,'Visit Schedule'!$A:$A,"&lt;="&amp;$D17,'Visit Schedule'!$H:$H,"&lt;&gt;Yes"))</f>
        <v/>
      </c>
      <c r="G17" s="32" t="n"/>
      <c r="H17" s="32" t="n"/>
    </row>
    <row r="18">
      <c r="C18" s="32" t="n"/>
      <c r="D18" s="32" t="n"/>
      <c r="E18" s="33">
        <f>IF(OR($B18="",$C18="",$D18=""),"",SUMIFS('Visit Schedule'!$F:$F,'Visit Schedule'!$B:$B,$B18,'Visit Schedule'!$G:$G,"Done",'Visit Schedule'!$A:$A,"&gt;="&amp;$C18,'Visit Schedule'!$A:$A,"&lt;="&amp;$D18))</f>
        <v/>
      </c>
      <c r="F18" s="33">
        <f>IF(OR($B18="",$C18="",$D18=""),"",SUMIFS('Visit Schedule'!$F:$F,'Visit Schedule'!$B:$B,$B18,'Visit Schedule'!$G:$G,"Done",'Visit Schedule'!$A:$A,"&gt;="&amp;$C18,'Visit Schedule'!$A:$A,"&lt;="&amp;$D18,'Visit Schedule'!$H:$H,"&lt;&gt;Yes"))</f>
        <v/>
      </c>
      <c r="G18" s="32" t="n"/>
      <c r="H18" s="32" t="n"/>
    </row>
    <row r="19">
      <c r="C19" s="32" t="n"/>
      <c r="D19" s="32" t="n"/>
      <c r="E19" s="33">
        <f>IF(OR($B19="",$C19="",$D19=""),"",SUMIFS('Visit Schedule'!$F:$F,'Visit Schedule'!$B:$B,$B19,'Visit Schedule'!$G:$G,"Done",'Visit Schedule'!$A:$A,"&gt;="&amp;$C19,'Visit Schedule'!$A:$A,"&lt;="&amp;$D19))</f>
        <v/>
      </c>
      <c r="F19" s="33">
        <f>IF(OR($B19="",$C19="",$D19=""),"",SUMIFS('Visit Schedule'!$F:$F,'Visit Schedule'!$B:$B,$B19,'Visit Schedule'!$G:$G,"Done",'Visit Schedule'!$A:$A,"&gt;="&amp;$C19,'Visit Schedule'!$A:$A,"&lt;="&amp;$D19,'Visit Schedule'!$H:$H,"&lt;&gt;Yes"))</f>
        <v/>
      </c>
      <c r="G19" s="32" t="n"/>
      <c r="H19" s="32" t="n"/>
    </row>
    <row r="20">
      <c r="C20" s="32" t="n"/>
      <c r="D20" s="32" t="n"/>
      <c r="E20" s="33">
        <f>IF(OR($B20="",$C20="",$D20=""),"",SUMIFS('Visit Schedule'!$F:$F,'Visit Schedule'!$B:$B,$B20,'Visit Schedule'!$G:$G,"Done",'Visit Schedule'!$A:$A,"&gt;="&amp;$C20,'Visit Schedule'!$A:$A,"&lt;="&amp;$D20))</f>
        <v/>
      </c>
      <c r="F20" s="33">
        <f>IF(OR($B20="",$C20="",$D20=""),"",SUMIFS('Visit Schedule'!$F:$F,'Visit Schedule'!$B:$B,$B20,'Visit Schedule'!$G:$G,"Done",'Visit Schedule'!$A:$A,"&gt;="&amp;$C20,'Visit Schedule'!$A:$A,"&lt;="&amp;$D20,'Visit Schedule'!$H:$H,"&lt;&gt;Yes"))</f>
        <v/>
      </c>
      <c r="G20" s="32" t="n"/>
      <c r="H20" s="32" t="n"/>
    </row>
    <row r="21">
      <c r="C21" s="32" t="n"/>
      <c r="D21" s="32" t="n"/>
      <c r="E21" s="33">
        <f>IF(OR($B21="",$C21="",$D21=""),"",SUMIFS('Visit Schedule'!$F:$F,'Visit Schedule'!$B:$B,$B21,'Visit Schedule'!$G:$G,"Done",'Visit Schedule'!$A:$A,"&gt;="&amp;$C21,'Visit Schedule'!$A:$A,"&lt;="&amp;$D21))</f>
        <v/>
      </c>
      <c r="F21" s="33">
        <f>IF(OR($B21="",$C21="",$D21=""),"",SUMIFS('Visit Schedule'!$F:$F,'Visit Schedule'!$B:$B,$B21,'Visit Schedule'!$G:$G,"Done",'Visit Schedule'!$A:$A,"&gt;="&amp;$C21,'Visit Schedule'!$A:$A,"&lt;="&amp;$D21,'Visit Schedule'!$H:$H,"&lt;&gt;Yes"))</f>
        <v/>
      </c>
      <c r="G21" s="32" t="n"/>
      <c r="H21" s="32" t="n"/>
    </row>
    <row r="22">
      <c r="C22" s="32" t="n"/>
      <c r="D22" s="32" t="n"/>
      <c r="E22" s="33">
        <f>IF(OR($B22="",$C22="",$D22=""),"",SUMIFS('Visit Schedule'!$F:$F,'Visit Schedule'!$B:$B,$B22,'Visit Schedule'!$G:$G,"Done",'Visit Schedule'!$A:$A,"&gt;="&amp;$C22,'Visit Schedule'!$A:$A,"&lt;="&amp;$D22))</f>
        <v/>
      </c>
      <c r="F22" s="33">
        <f>IF(OR($B22="",$C22="",$D22=""),"",SUMIFS('Visit Schedule'!$F:$F,'Visit Schedule'!$B:$B,$B22,'Visit Schedule'!$G:$G,"Done",'Visit Schedule'!$A:$A,"&gt;="&amp;$C22,'Visit Schedule'!$A:$A,"&lt;="&amp;$D22,'Visit Schedule'!$H:$H,"&lt;&gt;Yes"))</f>
        <v/>
      </c>
      <c r="G22" s="32" t="n"/>
      <c r="H22" s="32" t="n"/>
    </row>
    <row r="23">
      <c r="C23" s="32" t="n"/>
      <c r="D23" s="32" t="n"/>
      <c r="E23" s="33">
        <f>IF(OR($B23="",$C23="",$D23=""),"",SUMIFS('Visit Schedule'!$F:$F,'Visit Schedule'!$B:$B,$B23,'Visit Schedule'!$G:$G,"Done",'Visit Schedule'!$A:$A,"&gt;="&amp;$C23,'Visit Schedule'!$A:$A,"&lt;="&amp;$D23))</f>
        <v/>
      </c>
      <c r="F23" s="33">
        <f>IF(OR($B23="",$C23="",$D23=""),"",SUMIFS('Visit Schedule'!$F:$F,'Visit Schedule'!$B:$B,$B23,'Visit Schedule'!$G:$G,"Done",'Visit Schedule'!$A:$A,"&gt;="&amp;$C23,'Visit Schedule'!$A:$A,"&lt;="&amp;$D23,'Visit Schedule'!$H:$H,"&lt;&gt;Yes"))</f>
        <v/>
      </c>
      <c r="G23" s="32" t="n"/>
      <c r="H23" s="32" t="n"/>
    </row>
    <row r="24">
      <c r="C24" s="32" t="n"/>
      <c r="D24" s="32" t="n"/>
      <c r="E24" s="33">
        <f>IF(OR($B24="",$C24="",$D24=""),"",SUMIFS('Visit Schedule'!$F:$F,'Visit Schedule'!$B:$B,$B24,'Visit Schedule'!$G:$G,"Done",'Visit Schedule'!$A:$A,"&gt;="&amp;$C24,'Visit Schedule'!$A:$A,"&lt;="&amp;$D24))</f>
        <v/>
      </c>
      <c r="F24" s="33">
        <f>IF(OR($B24="",$C24="",$D24=""),"",SUMIFS('Visit Schedule'!$F:$F,'Visit Schedule'!$B:$B,$B24,'Visit Schedule'!$G:$G,"Done",'Visit Schedule'!$A:$A,"&gt;="&amp;$C24,'Visit Schedule'!$A:$A,"&lt;="&amp;$D24,'Visit Schedule'!$H:$H,"&lt;&gt;Yes"))</f>
        <v/>
      </c>
      <c r="G24" s="32" t="n"/>
      <c r="H24" s="32" t="n"/>
    </row>
    <row r="25">
      <c r="C25" s="32" t="n"/>
      <c r="D25" s="32" t="n"/>
      <c r="E25" s="33">
        <f>IF(OR($B25="",$C25="",$D25=""),"",SUMIFS('Visit Schedule'!$F:$F,'Visit Schedule'!$B:$B,$B25,'Visit Schedule'!$G:$G,"Done",'Visit Schedule'!$A:$A,"&gt;="&amp;$C25,'Visit Schedule'!$A:$A,"&lt;="&amp;$D25))</f>
        <v/>
      </c>
      <c r="F25" s="33">
        <f>IF(OR($B25="",$C25="",$D25=""),"",SUMIFS('Visit Schedule'!$F:$F,'Visit Schedule'!$B:$B,$B25,'Visit Schedule'!$G:$G,"Done",'Visit Schedule'!$A:$A,"&gt;="&amp;$C25,'Visit Schedule'!$A:$A,"&lt;="&amp;$D25,'Visit Schedule'!$H:$H,"&lt;&gt;Yes"))</f>
        <v/>
      </c>
      <c r="G25" s="32" t="n"/>
      <c r="H25" s="32" t="n"/>
    </row>
    <row r="26">
      <c r="C26" s="32" t="n"/>
      <c r="D26" s="32" t="n"/>
      <c r="E26" s="33">
        <f>IF(OR($B26="",$C26="",$D26=""),"",SUMIFS('Visit Schedule'!$F:$F,'Visit Schedule'!$B:$B,$B26,'Visit Schedule'!$G:$G,"Done",'Visit Schedule'!$A:$A,"&gt;="&amp;$C26,'Visit Schedule'!$A:$A,"&lt;="&amp;$D26))</f>
        <v/>
      </c>
      <c r="F26" s="33">
        <f>IF(OR($B26="",$C26="",$D26=""),"",SUMIFS('Visit Schedule'!$F:$F,'Visit Schedule'!$B:$B,$B26,'Visit Schedule'!$G:$G,"Done",'Visit Schedule'!$A:$A,"&gt;="&amp;$C26,'Visit Schedule'!$A:$A,"&lt;="&amp;$D26,'Visit Schedule'!$H:$H,"&lt;&gt;Yes"))</f>
        <v/>
      </c>
      <c r="G26" s="32" t="n"/>
      <c r="H26" s="32" t="n"/>
    </row>
    <row r="27">
      <c r="C27" s="32" t="n"/>
      <c r="D27" s="32" t="n"/>
      <c r="E27" s="33">
        <f>IF(OR($B27="",$C27="",$D27=""),"",SUMIFS('Visit Schedule'!$F:$F,'Visit Schedule'!$B:$B,$B27,'Visit Schedule'!$G:$G,"Done",'Visit Schedule'!$A:$A,"&gt;="&amp;$C27,'Visit Schedule'!$A:$A,"&lt;="&amp;$D27))</f>
        <v/>
      </c>
      <c r="F27" s="33">
        <f>IF(OR($B27="",$C27="",$D27=""),"",SUMIFS('Visit Schedule'!$F:$F,'Visit Schedule'!$B:$B,$B27,'Visit Schedule'!$G:$G,"Done",'Visit Schedule'!$A:$A,"&gt;="&amp;$C27,'Visit Schedule'!$A:$A,"&lt;="&amp;$D27,'Visit Schedule'!$H:$H,"&lt;&gt;Yes"))</f>
        <v/>
      </c>
      <c r="G27" s="32" t="n"/>
      <c r="H27" s="32" t="n"/>
    </row>
    <row r="28">
      <c r="C28" s="32" t="n"/>
      <c r="D28" s="32" t="n"/>
      <c r="E28" s="33">
        <f>IF(OR($B28="",$C28="",$D28=""),"",SUMIFS('Visit Schedule'!$F:$F,'Visit Schedule'!$B:$B,$B28,'Visit Schedule'!$G:$G,"Done",'Visit Schedule'!$A:$A,"&gt;="&amp;$C28,'Visit Schedule'!$A:$A,"&lt;="&amp;$D28))</f>
        <v/>
      </c>
      <c r="F28" s="33">
        <f>IF(OR($B28="",$C28="",$D28=""),"",SUMIFS('Visit Schedule'!$F:$F,'Visit Schedule'!$B:$B,$B28,'Visit Schedule'!$G:$G,"Done",'Visit Schedule'!$A:$A,"&gt;="&amp;$C28,'Visit Schedule'!$A:$A,"&lt;="&amp;$D28,'Visit Schedule'!$H:$H,"&lt;&gt;Yes"))</f>
        <v/>
      </c>
      <c r="G28" s="32" t="n"/>
      <c r="H28" s="32" t="n"/>
    </row>
    <row r="29">
      <c r="C29" s="32" t="n"/>
      <c r="D29" s="32" t="n"/>
      <c r="E29" s="33">
        <f>IF(OR($B29="",$C29="",$D29=""),"",SUMIFS('Visit Schedule'!$F:$F,'Visit Schedule'!$B:$B,$B29,'Visit Schedule'!$G:$G,"Done",'Visit Schedule'!$A:$A,"&gt;="&amp;$C29,'Visit Schedule'!$A:$A,"&lt;="&amp;$D29))</f>
        <v/>
      </c>
      <c r="F29" s="33">
        <f>IF(OR($B29="",$C29="",$D29=""),"",SUMIFS('Visit Schedule'!$F:$F,'Visit Schedule'!$B:$B,$B29,'Visit Schedule'!$G:$G,"Done",'Visit Schedule'!$A:$A,"&gt;="&amp;$C29,'Visit Schedule'!$A:$A,"&lt;="&amp;$D29,'Visit Schedule'!$H:$H,"&lt;&gt;Yes"))</f>
        <v/>
      </c>
      <c r="G29" s="32" t="n"/>
      <c r="H29" s="32" t="n"/>
    </row>
    <row r="30">
      <c r="C30" s="32" t="n"/>
      <c r="D30" s="32" t="n"/>
      <c r="E30" s="33">
        <f>IF(OR($B30="",$C30="",$D30=""),"",SUMIFS('Visit Schedule'!$F:$F,'Visit Schedule'!$B:$B,$B30,'Visit Schedule'!$G:$G,"Done",'Visit Schedule'!$A:$A,"&gt;="&amp;$C30,'Visit Schedule'!$A:$A,"&lt;="&amp;$D30))</f>
        <v/>
      </c>
      <c r="F30" s="33">
        <f>IF(OR($B30="",$C30="",$D30=""),"",SUMIFS('Visit Schedule'!$F:$F,'Visit Schedule'!$B:$B,$B30,'Visit Schedule'!$G:$G,"Done",'Visit Schedule'!$A:$A,"&gt;="&amp;$C30,'Visit Schedule'!$A:$A,"&lt;="&amp;$D30,'Visit Schedule'!$H:$H,"&lt;&gt;Yes"))</f>
        <v/>
      </c>
      <c r="G30" s="32" t="n"/>
      <c r="H30" s="32" t="n"/>
    </row>
    <row r="31">
      <c r="C31" s="32" t="n"/>
      <c r="D31" s="32" t="n"/>
      <c r="E31" s="33">
        <f>IF(OR($B31="",$C31="",$D31=""),"",SUMIFS('Visit Schedule'!$F:$F,'Visit Schedule'!$B:$B,$B31,'Visit Schedule'!$G:$G,"Done",'Visit Schedule'!$A:$A,"&gt;="&amp;$C31,'Visit Schedule'!$A:$A,"&lt;="&amp;$D31))</f>
        <v/>
      </c>
      <c r="F31" s="33">
        <f>IF(OR($B31="",$C31="",$D31=""),"",SUMIFS('Visit Schedule'!$F:$F,'Visit Schedule'!$B:$B,$B31,'Visit Schedule'!$G:$G,"Done",'Visit Schedule'!$A:$A,"&gt;="&amp;$C31,'Visit Schedule'!$A:$A,"&lt;="&amp;$D31,'Visit Schedule'!$H:$H,"&lt;&gt;Yes"))</f>
        <v/>
      </c>
      <c r="G31" s="32" t="n"/>
      <c r="H31" s="32" t="n"/>
    </row>
    <row r="32">
      <c r="C32" s="32" t="n"/>
      <c r="D32" s="32" t="n"/>
      <c r="E32" s="33">
        <f>IF(OR($B32="",$C32="",$D32=""),"",SUMIFS('Visit Schedule'!$F:$F,'Visit Schedule'!$B:$B,$B32,'Visit Schedule'!$G:$G,"Done",'Visit Schedule'!$A:$A,"&gt;="&amp;$C32,'Visit Schedule'!$A:$A,"&lt;="&amp;$D32))</f>
        <v/>
      </c>
      <c r="F32" s="33">
        <f>IF(OR($B32="",$C32="",$D32=""),"",SUMIFS('Visit Schedule'!$F:$F,'Visit Schedule'!$B:$B,$B32,'Visit Schedule'!$G:$G,"Done",'Visit Schedule'!$A:$A,"&gt;="&amp;$C32,'Visit Schedule'!$A:$A,"&lt;="&amp;$D32,'Visit Schedule'!$H:$H,"&lt;&gt;Yes"))</f>
        <v/>
      </c>
      <c r="G32" s="32" t="n"/>
      <c r="H32" s="32" t="n"/>
    </row>
    <row r="33">
      <c r="C33" s="32" t="n"/>
      <c r="D33" s="32" t="n"/>
      <c r="E33" s="33">
        <f>IF(OR($B33="",$C33="",$D33=""),"",SUMIFS('Visit Schedule'!$F:$F,'Visit Schedule'!$B:$B,$B33,'Visit Schedule'!$G:$G,"Done",'Visit Schedule'!$A:$A,"&gt;="&amp;$C33,'Visit Schedule'!$A:$A,"&lt;="&amp;$D33))</f>
        <v/>
      </c>
      <c r="F33" s="33">
        <f>IF(OR($B33="",$C33="",$D33=""),"",SUMIFS('Visit Schedule'!$F:$F,'Visit Schedule'!$B:$B,$B33,'Visit Schedule'!$G:$G,"Done",'Visit Schedule'!$A:$A,"&gt;="&amp;$C33,'Visit Schedule'!$A:$A,"&lt;="&amp;$D33,'Visit Schedule'!$H:$H,"&lt;&gt;Yes"))</f>
        <v/>
      </c>
      <c r="G33" s="32" t="n"/>
      <c r="H33" s="32" t="n"/>
    </row>
    <row r="34">
      <c r="C34" s="32" t="n"/>
      <c r="D34" s="32" t="n"/>
      <c r="E34" s="33">
        <f>IF(OR($B34="",$C34="",$D34=""),"",SUMIFS('Visit Schedule'!$F:$F,'Visit Schedule'!$B:$B,$B34,'Visit Schedule'!$G:$G,"Done",'Visit Schedule'!$A:$A,"&gt;="&amp;$C34,'Visit Schedule'!$A:$A,"&lt;="&amp;$D34))</f>
        <v/>
      </c>
      <c r="F34" s="33">
        <f>IF(OR($B34="",$C34="",$D34=""),"",SUMIFS('Visit Schedule'!$F:$F,'Visit Schedule'!$B:$B,$B34,'Visit Schedule'!$G:$G,"Done",'Visit Schedule'!$A:$A,"&gt;="&amp;$C34,'Visit Schedule'!$A:$A,"&lt;="&amp;$D34,'Visit Schedule'!$H:$H,"&lt;&gt;Yes"))</f>
        <v/>
      </c>
      <c r="G34" s="32" t="n"/>
      <c r="H34" s="32" t="n"/>
    </row>
    <row r="35">
      <c r="C35" s="32" t="n"/>
      <c r="D35" s="32" t="n"/>
      <c r="E35" s="33">
        <f>IF(OR($B35="",$C35="",$D35=""),"",SUMIFS('Visit Schedule'!$F:$F,'Visit Schedule'!$B:$B,$B35,'Visit Schedule'!$G:$G,"Done",'Visit Schedule'!$A:$A,"&gt;="&amp;$C35,'Visit Schedule'!$A:$A,"&lt;="&amp;$D35))</f>
        <v/>
      </c>
      <c r="F35" s="33">
        <f>IF(OR($B35="",$C35="",$D35=""),"",SUMIFS('Visit Schedule'!$F:$F,'Visit Schedule'!$B:$B,$B35,'Visit Schedule'!$G:$G,"Done",'Visit Schedule'!$A:$A,"&gt;="&amp;$C35,'Visit Schedule'!$A:$A,"&lt;="&amp;$D35,'Visit Schedule'!$H:$H,"&lt;&gt;Yes"))</f>
        <v/>
      </c>
      <c r="G35" s="32" t="n"/>
      <c r="H35" s="32" t="n"/>
    </row>
    <row r="36">
      <c r="C36" s="32" t="n"/>
      <c r="D36" s="32" t="n"/>
      <c r="E36" s="33">
        <f>IF(OR($B36="",$C36="",$D36=""),"",SUMIFS('Visit Schedule'!$F:$F,'Visit Schedule'!$B:$B,$B36,'Visit Schedule'!$G:$G,"Done",'Visit Schedule'!$A:$A,"&gt;="&amp;$C36,'Visit Schedule'!$A:$A,"&lt;="&amp;$D36))</f>
        <v/>
      </c>
      <c r="F36" s="33">
        <f>IF(OR($B36="",$C36="",$D36=""),"",SUMIFS('Visit Schedule'!$F:$F,'Visit Schedule'!$B:$B,$B36,'Visit Schedule'!$G:$G,"Done",'Visit Schedule'!$A:$A,"&gt;="&amp;$C36,'Visit Schedule'!$A:$A,"&lt;="&amp;$D36,'Visit Schedule'!$H:$H,"&lt;&gt;Yes"))</f>
        <v/>
      </c>
      <c r="G36" s="32" t="n"/>
      <c r="H36" s="32" t="n"/>
    </row>
    <row r="37">
      <c r="C37" s="32" t="n"/>
      <c r="D37" s="32" t="n"/>
      <c r="E37" s="33">
        <f>IF(OR($B37="",$C37="",$D37=""),"",SUMIFS('Visit Schedule'!$F:$F,'Visit Schedule'!$B:$B,$B37,'Visit Schedule'!$G:$G,"Done",'Visit Schedule'!$A:$A,"&gt;="&amp;$C37,'Visit Schedule'!$A:$A,"&lt;="&amp;$D37))</f>
        <v/>
      </c>
      <c r="F37" s="33">
        <f>IF(OR($B37="",$C37="",$D37=""),"",SUMIFS('Visit Schedule'!$F:$F,'Visit Schedule'!$B:$B,$B37,'Visit Schedule'!$G:$G,"Done",'Visit Schedule'!$A:$A,"&gt;="&amp;$C37,'Visit Schedule'!$A:$A,"&lt;="&amp;$D37,'Visit Schedule'!$H:$H,"&lt;&gt;Yes"))</f>
        <v/>
      </c>
      <c r="G37" s="32" t="n"/>
      <c r="H37" s="32" t="n"/>
    </row>
    <row r="38">
      <c r="C38" s="32" t="n"/>
      <c r="D38" s="32" t="n"/>
      <c r="E38" s="33">
        <f>IF(OR($B38="",$C38="",$D38=""),"",SUMIFS('Visit Schedule'!$F:$F,'Visit Schedule'!$B:$B,$B38,'Visit Schedule'!$G:$G,"Done",'Visit Schedule'!$A:$A,"&gt;="&amp;$C38,'Visit Schedule'!$A:$A,"&lt;="&amp;$D38))</f>
        <v/>
      </c>
      <c r="F38" s="33">
        <f>IF(OR($B38="",$C38="",$D38=""),"",SUMIFS('Visit Schedule'!$F:$F,'Visit Schedule'!$B:$B,$B38,'Visit Schedule'!$G:$G,"Done",'Visit Schedule'!$A:$A,"&gt;="&amp;$C38,'Visit Schedule'!$A:$A,"&lt;="&amp;$D38,'Visit Schedule'!$H:$H,"&lt;&gt;Yes"))</f>
        <v/>
      </c>
      <c r="G38" s="32" t="n"/>
      <c r="H38" s="32" t="n"/>
    </row>
    <row r="39">
      <c r="C39" s="32" t="n"/>
      <c r="D39" s="32" t="n"/>
      <c r="E39" s="33">
        <f>IF(OR($B39="",$C39="",$D39=""),"",SUMIFS('Visit Schedule'!$F:$F,'Visit Schedule'!$B:$B,$B39,'Visit Schedule'!$G:$G,"Done",'Visit Schedule'!$A:$A,"&gt;="&amp;$C39,'Visit Schedule'!$A:$A,"&lt;="&amp;$D39))</f>
        <v/>
      </c>
      <c r="F39" s="33">
        <f>IF(OR($B39="",$C39="",$D39=""),"",SUMIFS('Visit Schedule'!$F:$F,'Visit Schedule'!$B:$B,$B39,'Visit Schedule'!$G:$G,"Done",'Visit Schedule'!$A:$A,"&gt;="&amp;$C39,'Visit Schedule'!$A:$A,"&lt;="&amp;$D39,'Visit Schedule'!$H:$H,"&lt;&gt;Yes"))</f>
        <v/>
      </c>
      <c r="G39" s="32" t="n"/>
      <c r="H39" s="32" t="n"/>
    </row>
    <row r="40">
      <c r="C40" s="32" t="n"/>
      <c r="D40" s="32" t="n"/>
      <c r="E40" s="33">
        <f>IF(OR($B40="",$C40="",$D40=""),"",SUMIFS('Visit Schedule'!$F:$F,'Visit Schedule'!$B:$B,$B40,'Visit Schedule'!$G:$G,"Done",'Visit Schedule'!$A:$A,"&gt;="&amp;$C40,'Visit Schedule'!$A:$A,"&lt;="&amp;$D40))</f>
        <v/>
      </c>
      <c r="F40" s="33">
        <f>IF(OR($B40="",$C40="",$D40=""),"",SUMIFS('Visit Schedule'!$F:$F,'Visit Schedule'!$B:$B,$B40,'Visit Schedule'!$G:$G,"Done",'Visit Schedule'!$A:$A,"&gt;="&amp;$C40,'Visit Schedule'!$A:$A,"&lt;="&amp;$D40,'Visit Schedule'!$H:$H,"&lt;&gt;Yes"))</f>
        <v/>
      </c>
      <c r="G40" s="32" t="n"/>
      <c r="H40" s="32" t="n"/>
    </row>
    <row r="41">
      <c r="C41" s="32" t="n"/>
      <c r="D41" s="32" t="n"/>
      <c r="E41" s="33">
        <f>IF(OR($B41="",$C41="",$D41=""),"",SUMIFS('Visit Schedule'!$F:$F,'Visit Schedule'!$B:$B,$B41,'Visit Schedule'!$G:$G,"Done",'Visit Schedule'!$A:$A,"&gt;="&amp;$C41,'Visit Schedule'!$A:$A,"&lt;="&amp;$D41))</f>
        <v/>
      </c>
      <c r="F41" s="33">
        <f>IF(OR($B41="",$C41="",$D41=""),"",SUMIFS('Visit Schedule'!$F:$F,'Visit Schedule'!$B:$B,$B41,'Visit Schedule'!$G:$G,"Done",'Visit Schedule'!$A:$A,"&gt;="&amp;$C41,'Visit Schedule'!$A:$A,"&lt;="&amp;$D41,'Visit Schedule'!$H:$H,"&lt;&gt;Yes"))</f>
        <v/>
      </c>
      <c r="G41" s="32" t="n"/>
      <c r="H41" s="32" t="n"/>
    </row>
    <row r="42">
      <c r="C42" s="32" t="n"/>
      <c r="D42" s="32" t="n"/>
      <c r="E42" s="33">
        <f>IF(OR($B42="",$C42="",$D42=""),"",SUMIFS('Visit Schedule'!$F:$F,'Visit Schedule'!$B:$B,$B42,'Visit Schedule'!$G:$G,"Done",'Visit Schedule'!$A:$A,"&gt;="&amp;$C42,'Visit Schedule'!$A:$A,"&lt;="&amp;$D42))</f>
        <v/>
      </c>
      <c r="F42" s="33">
        <f>IF(OR($B42="",$C42="",$D42=""),"",SUMIFS('Visit Schedule'!$F:$F,'Visit Schedule'!$B:$B,$B42,'Visit Schedule'!$G:$G,"Done",'Visit Schedule'!$A:$A,"&gt;="&amp;$C42,'Visit Schedule'!$A:$A,"&lt;="&amp;$D42,'Visit Schedule'!$H:$H,"&lt;&gt;Yes"))</f>
        <v/>
      </c>
      <c r="G42" s="32" t="n"/>
      <c r="H42" s="32" t="n"/>
    </row>
    <row r="43">
      <c r="C43" s="32" t="n"/>
      <c r="D43" s="32" t="n"/>
      <c r="E43" s="33">
        <f>IF(OR($B43="",$C43="",$D43=""),"",SUMIFS('Visit Schedule'!$F:$F,'Visit Schedule'!$B:$B,$B43,'Visit Schedule'!$G:$G,"Done",'Visit Schedule'!$A:$A,"&gt;="&amp;$C43,'Visit Schedule'!$A:$A,"&lt;="&amp;$D43))</f>
        <v/>
      </c>
      <c r="F43" s="33">
        <f>IF(OR($B43="",$C43="",$D43=""),"",SUMIFS('Visit Schedule'!$F:$F,'Visit Schedule'!$B:$B,$B43,'Visit Schedule'!$G:$G,"Done",'Visit Schedule'!$A:$A,"&gt;="&amp;$C43,'Visit Schedule'!$A:$A,"&lt;="&amp;$D43,'Visit Schedule'!$H:$H,"&lt;&gt;Yes"))</f>
        <v/>
      </c>
      <c r="G43" s="32" t="n"/>
      <c r="H43" s="32" t="n"/>
    </row>
    <row r="44">
      <c r="C44" s="32" t="n"/>
      <c r="D44" s="32" t="n"/>
      <c r="E44" s="33">
        <f>IF(OR($B44="",$C44="",$D44=""),"",SUMIFS('Visit Schedule'!$F:$F,'Visit Schedule'!$B:$B,$B44,'Visit Schedule'!$G:$G,"Done",'Visit Schedule'!$A:$A,"&gt;="&amp;$C44,'Visit Schedule'!$A:$A,"&lt;="&amp;$D44))</f>
        <v/>
      </c>
      <c r="F44" s="33">
        <f>IF(OR($B44="",$C44="",$D44=""),"",SUMIFS('Visit Schedule'!$F:$F,'Visit Schedule'!$B:$B,$B44,'Visit Schedule'!$G:$G,"Done",'Visit Schedule'!$A:$A,"&gt;="&amp;$C44,'Visit Schedule'!$A:$A,"&lt;="&amp;$D44,'Visit Schedule'!$H:$H,"&lt;&gt;Yes"))</f>
        <v/>
      </c>
      <c r="G44" s="32" t="n"/>
      <c r="H44" s="32" t="n"/>
    </row>
    <row r="45">
      <c r="C45" s="32" t="n"/>
      <c r="D45" s="32" t="n"/>
      <c r="E45" s="33">
        <f>IF(OR($B45="",$C45="",$D45=""),"",SUMIFS('Visit Schedule'!$F:$F,'Visit Schedule'!$B:$B,$B45,'Visit Schedule'!$G:$G,"Done",'Visit Schedule'!$A:$A,"&gt;="&amp;$C45,'Visit Schedule'!$A:$A,"&lt;="&amp;$D45))</f>
        <v/>
      </c>
      <c r="F45" s="33">
        <f>IF(OR($B45="",$C45="",$D45=""),"",SUMIFS('Visit Schedule'!$F:$F,'Visit Schedule'!$B:$B,$B45,'Visit Schedule'!$G:$G,"Done",'Visit Schedule'!$A:$A,"&gt;="&amp;$C45,'Visit Schedule'!$A:$A,"&lt;="&amp;$D45,'Visit Schedule'!$H:$H,"&lt;&gt;Yes"))</f>
        <v/>
      </c>
      <c r="G45" s="32" t="n"/>
      <c r="H45" s="32" t="n"/>
    </row>
    <row r="46">
      <c r="C46" s="32" t="n"/>
      <c r="D46" s="32" t="n"/>
      <c r="E46" s="33">
        <f>IF(OR($B46="",$C46="",$D46=""),"",SUMIFS('Visit Schedule'!$F:$F,'Visit Schedule'!$B:$B,$B46,'Visit Schedule'!$G:$G,"Done",'Visit Schedule'!$A:$A,"&gt;="&amp;$C46,'Visit Schedule'!$A:$A,"&lt;="&amp;$D46))</f>
        <v/>
      </c>
      <c r="F46" s="33">
        <f>IF(OR($B46="",$C46="",$D46=""),"",SUMIFS('Visit Schedule'!$F:$F,'Visit Schedule'!$B:$B,$B46,'Visit Schedule'!$G:$G,"Done",'Visit Schedule'!$A:$A,"&gt;="&amp;$C46,'Visit Schedule'!$A:$A,"&lt;="&amp;$D46,'Visit Schedule'!$H:$H,"&lt;&gt;Yes"))</f>
        <v/>
      </c>
      <c r="G46" s="32" t="n"/>
      <c r="H46" s="32" t="n"/>
    </row>
    <row r="47">
      <c r="C47" s="32" t="n"/>
      <c r="D47" s="32" t="n"/>
      <c r="E47" s="33">
        <f>IF(OR($B47="",$C47="",$D47=""),"",SUMIFS('Visit Schedule'!$F:$F,'Visit Schedule'!$B:$B,$B47,'Visit Schedule'!$G:$G,"Done",'Visit Schedule'!$A:$A,"&gt;="&amp;$C47,'Visit Schedule'!$A:$A,"&lt;="&amp;$D47))</f>
        <v/>
      </c>
      <c r="F47" s="33">
        <f>IF(OR($B47="",$C47="",$D47=""),"",SUMIFS('Visit Schedule'!$F:$F,'Visit Schedule'!$B:$B,$B47,'Visit Schedule'!$G:$G,"Done",'Visit Schedule'!$A:$A,"&gt;="&amp;$C47,'Visit Schedule'!$A:$A,"&lt;="&amp;$D47,'Visit Schedule'!$H:$H,"&lt;&gt;Yes"))</f>
        <v/>
      </c>
      <c r="G47" s="32" t="n"/>
      <c r="H47" s="32" t="n"/>
    </row>
    <row r="48">
      <c r="C48" s="32" t="n"/>
      <c r="D48" s="32" t="n"/>
      <c r="E48" s="33">
        <f>IF(OR($B48="",$C48="",$D48=""),"",SUMIFS('Visit Schedule'!$F:$F,'Visit Schedule'!$B:$B,$B48,'Visit Schedule'!$G:$G,"Done",'Visit Schedule'!$A:$A,"&gt;="&amp;$C48,'Visit Schedule'!$A:$A,"&lt;="&amp;$D48))</f>
        <v/>
      </c>
      <c r="F48" s="33">
        <f>IF(OR($B48="",$C48="",$D48=""),"",SUMIFS('Visit Schedule'!$F:$F,'Visit Schedule'!$B:$B,$B48,'Visit Schedule'!$G:$G,"Done",'Visit Schedule'!$A:$A,"&gt;="&amp;$C48,'Visit Schedule'!$A:$A,"&lt;="&amp;$D48,'Visit Schedule'!$H:$H,"&lt;&gt;Yes"))</f>
        <v/>
      </c>
      <c r="G48" s="32" t="n"/>
      <c r="H48" s="32" t="n"/>
    </row>
    <row r="49">
      <c r="C49" s="32" t="n"/>
      <c r="D49" s="32" t="n"/>
      <c r="E49" s="33">
        <f>IF(OR($B49="",$C49="",$D49=""),"",SUMIFS('Visit Schedule'!$F:$F,'Visit Schedule'!$B:$B,$B49,'Visit Schedule'!$G:$G,"Done",'Visit Schedule'!$A:$A,"&gt;="&amp;$C49,'Visit Schedule'!$A:$A,"&lt;="&amp;$D49))</f>
        <v/>
      </c>
      <c r="F49" s="33">
        <f>IF(OR($B49="",$C49="",$D49=""),"",SUMIFS('Visit Schedule'!$F:$F,'Visit Schedule'!$B:$B,$B49,'Visit Schedule'!$G:$G,"Done",'Visit Schedule'!$A:$A,"&gt;="&amp;$C49,'Visit Schedule'!$A:$A,"&lt;="&amp;$D49,'Visit Schedule'!$H:$H,"&lt;&gt;Yes"))</f>
        <v/>
      </c>
      <c r="G49" s="32" t="n"/>
      <c r="H49" s="32" t="n"/>
    </row>
    <row r="50">
      <c r="C50" s="32" t="n"/>
      <c r="D50" s="32" t="n"/>
      <c r="E50" s="33">
        <f>IF(OR($B50="",$C50="",$D50=""),"",SUMIFS('Visit Schedule'!$F:$F,'Visit Schedule'!$B:$B,$B50,'Visit Schedule'!$G:$G,"Done",'Visit Schedule'!$A:$A,"&gt;="&amp;$C50,'Visit Schedule'!$A:$A,"&lt;="&amp;$D50))</f>
        <v/>
      </c>
      <c r="F50" s="33">
        <f>IF(OR($B50="",$C50="",$D50=""),"",SUMIFS('Visit Schedule'!$F:$F,'Visit Schedule'!$B:$B,$B50,'Visit Schedule'!$G:$G,"Done",'Visit Schedule'!$A:$A,"&gt;="&amp;$C50,'Visit Schedule'!$A:$A,"&lt;="&amp;$D50,'Visit Schedule'!$H:$H,"&lt;&gt;Yes"))</f>
        <v/>
      </c>
      <c r="G50" s="32" t="n"/>
      <c r="H50" s="32" t="n"/>
    </row>
    <row r="51">
      <c r="C51" s="32" t="n"/>
      <c r="D51" s="32" t="n"/>
      <c r="E51" s="33">
        <f>IF(OR($B51="",$C51="",$D51=""),"",SUMIFS('Visit Schedule'!$F:$F,'Visit Schedule'!$B:$B,$B51,'Visit Schedule'!$G:$G,"Done",'Visit Schedule'!$A:$A,"&gt;="&amp;$C51,'Visit Schedule'!$A:$A,"&lt;="&amp;$D51))</f>
        <v/>
      </c>
      <c r="F51" s="33">
        <f>IF(OR($B51="",$C51="",$D51=""),"",SUMIFS('Visit Schedule'!$F:$F,'Visit Schedule'!$B:$B,$B51,'Visit Schedule'!$G:$G,"Done",'Visit Schedule'!$A:$A,"&gt;="&amp;$C51,'Visit Schedule'!$A:$A,"&lt;="&amp;$D51,'Visit Schedule'!$H:$H,"&lt;&gt;Yes"))</f>
        <v/>
      </c>
      <c r="G51" s="32" t="n"/>
      <c r="H51" s="32" t="n"/>
    </row>
    <row r="52">
      <c r="C52" s="32" t="n"/>
      <c r="D52" s="32" t="n"/>
      <c r="E52" s="33">
        <f>IF(OR($B52="",$C52="",$D52=""),"",SUMIFS('Visit Schedule'!$F:$F,'Visit Schedule'!$B:$B,$B52,'Visit Schedule'!$G:$G,"Done",'Visit Schedule'!$A:$A,"&gt;="&amp;$C52,'Visit Schedule'!$A:$A,"&lt;="&amp;$D52))</f>
        <v/>
      </c>
      <c r="F52" s="33">
        <f>IF(OR($B52="",$C52="",$D52=""),"",SUMIFS('Visit Schedule'!$F:$F,'Visit Schedule'!$B:$B,$B52,'Visit Schedule'!$G:$G,"Done",'Visit Schedule'!$A:$A,"&gt;="&amp;$C52,'Visit Schedule'!$A:$A,"&lt;="&amp;$D52,'Visit Schedule'!$H:$H,"&lt;&gt;Yes"))</f>
        <v/>
      </c>
      <c r="G52" s="32" t="n"/>
      <c r="H52" s="32" t="n"/>
    </row>
    <row r="53">
      <c r="C53" s="32" t="n"/>
      <c r="D53" s="32" t="n"/>
      <c r="E53" s="33">
        <f>IF(OR($B53="",$C53="",$D53=""),"",SUMIFS('Visit Schedule'!$F:$F,'Visit Schedule'!$B:$B,$B53,'Visit Schedule'!$G:$G,"Done",'Visit Schedule'!$A:$A,"&gt;="&amp;$C53,'Visit Schedule'!$A:$A,"&lt;="&amp;$D53))</f>
        <v/>
      </c>
      <c r="F53" s="33">
        <f>IF(OR($B53="",$C53="",$D53=""),"",SUMIFS('Visit Schedule'!$F:$F,'Visit Schedule'!$B:$B,$B53,'Visit Schedule'!$G:$G,"Done",'Visit Schedule'!$A:$A,"&gt;="&amp;$C53,'Visit Schedule'!$A:$A,"&lt;="&amp;$D53,'Visit Schedule'!$H:$H,"&lt;&gt;Yes"))</f>
        <v/>
      </c>
      <c r="G53" s="32" t="n"/>
      <c r="H53" s="32" t="n"/>
    </row>
    <row r="54">
      <c r="C54" s="32" t="n"/>
      <c r="D54" s="32" t="n"/>
      <c r="E54" s="33">
        <f>IF(OR($B54="",$C54="",$D54=""),"",SUMIFS('Visit Schedule'!$F:$F,'Visit Schedule'!$B:$B,$B54,'Visit Schedule'!$G:$G,"Done",'Visit Schedule'!$A:$A,"&gt;="&amp;$C54,'Visit Schedule'!$A:$A,"&lt;="&amp;$D54))</f>
        <v/>
      </c>
      <c r="F54" s="33">
        <f>IF(OR($B54="",$C54="",$D54=""),"",SUMIFS('Visit Schedule'!$F:$F,'Visit Schedule'!$B:$B,$B54,'Visit Schedule'!$G:$G,"Done",'Visit Schedule'!$A:$A,"&gt;="&amp;$C54,'Visit Schedule'!$A:$A,"&lt;="&amp;$D54,'Visit Schedule'!$H:$H,"&lt;&gt;Yes"))</f>
        <v/>
      </c>
      <c r="G54" s="32" t="n"/>
      <c r="H54" s="32" t="n"/>
    </row>
    <row r="55">
      <c r="C55" s="32" t="n"/>
      <c r="D55" s="32" t="n"/>
      <c r="E55" s="33">
        <f>IF(OR($B55="",$C55="",$D55=""),"",SUMIFS('Visit Schedule'!$F:$F,'Visit Schedule'!$B:$B,$B55,'Visit Schedule'!$G:$G,"Done",'Visit Schedule'!$A:$A,"&gt;="&amp;$C55,'Visit Schedule'!$A:$A,"&lt;="&amp;$D55))</f>
        <v/>
      </c>
      <c r="F55" s="33">
        <f>IF(OR($B55="",$C55="",$D55=""),"",SUMIFS('Visit Schedule'!$F:$F,'Visit Schedule'!$B:$B,$B55,'Visit Schedule'!$G:$G,"Done",'Visit Schedule'!$A:$A,"&gt;="&amp;$C55,'Visit Schedule'!$A:$A,"&lt;="&amp;$D55,'Visit Schedule'!$H:$H,"&lt;&gt;Yes"))</f>
        <v/>
      </c>
      <c r="G55" s="32" t="n"/>
      <c r="H55" s="32" t="n"/>
    </row>
    <row r="56">
      <c r="C56" s="32" t="n"/>
      <c r="D56" s="32" t="n"/>
      <c r="E56" s="33">
        <f>IF(OR($B56="",$C56="",$D56=""),"",SUMIFS('Visit Schedule'!$F:$F,'Visit Schedule'!$B:$B,$B56,'Visit Schedule'!$G:$G,"Done",'Visit Schedule'!$A:$A,"&gt;="&amp;$C56,'Visit Schedule'!$A:$A,"&lt;="&amp;$D56))</f>
        <v/>
      </c>
      <c r="F56" s="33">
        <f>IF(OR($B56="",$C56="",$D56=""),"",SUMIFS('Visit Schedule'!$F:$F,'Visit Schedule'!$B:$B,$B56,'Visit Schedule'!$G:$G,"Done",'Visit Schedule'!$A:$A,"&gt;="&amp;$C56,'Visit Schedule'!$A:$A,"&lt;="&amp;$D56,'Visit Schedule'!$H:$H,"&lt;&gt;Yes"))</f>
        <v/>
      </c>
      <c r="G56" s="32" t="n"/>
      <c r="H56" s="32" t="n"/>
    </row>
    <row r="57">
      <c r="C57" s="32" t="n"/>
      <c r="D57" s="32" t="n"/>
      <c r="E57" s="33">
        <f>IF(OR($B57="",$C57="",$D57=""),"",SUMIFS('Visit Schedule'!$F:$F,'Visit Schedule'!$B:$B,$B57,'Visit Schedule'!$G:$G,"Done",'Visit Schedule'!$A:$A,"&gt;="&amp;$C57,'Visit Schedule'!$A:$A,"&lt;="&amp;$D57))</f>
        <v/>
      </c>
      <c r="F57" s="33">
        <f>IF(OR($B57="",$C57="",$D57=""),"",SUMIFS('Visit Schedule'!$F:$F,'Visit Schedule'!$B:$B,$B57,'Visit Schedule'!$G:$G,"Done",'Visit Schedule'!$A:$A,"&gt;="&amp;$C57,'Visit Schedule'!$A:$A,"&lt;="&amp;$D57,'Visit Schedule'!$H:$H,"&lt;&gt;Yes"))</f>
        <v/>
      </c>
      <c r="G57" s="32" t="n"/>
      <c r="H57" s="32" t="n"/>
    </row>
    <row r="58">
      <c r="C58" s="32" t="n"/>
      <c r="D58" s="32" t="n"/>
      <c r="E58" s="33">
        <f>IF(OR($B58="",$C58="",$D58=""),"",SUMIFS('Visit Schedule'!$F:$F,'Visit Schedule'!$B:$B,$B58,'Visit Schedule'!$G:$G,"Done",'Visit Schedule'!$A:$A,"&gt;="&amp;$C58,'Visit Schedule'!$A:$A,"&lt;="&amp;$D58))</f>
        <v/>
      </c>
      <c r="F58" s="33">
        <f>IF(OR($B58="",$C58="",$D58=""),"",SUMIFS('Visit Schedule'!$F:$F,'Visit Schedule'!$B:$B,$B58,'Visit Schedule'!$G:$G,"Done",'Visit Schedule'!$A:$A,"&gt;="&amp;$C58,'Visit Schedule'!$A:$A,"&lt;="&amp;$D58,'Visit Schedule'!$H:$H,"&lt;&gt;Yes"))</f>
        <v/>
      </c>
      <c r="G58" s="32" t="n"/>
      <c r="H58" s="32" t="n"/>
    </row>
    <row r="59">
      <c r="C59" s="32" t="n"/>
      <c r="D59" s="32" t="n"/>
      <c r="E59" s="33">
        <f>IF(OR($B59="",$C59="",$D59=""),"",SUMIFS('Visit Schedule'!$F:$F,'Visit Schedule'!$B:$B,$B59,'Visit Schedule'!$G:$G,"Done",'Visit Schedule'!$A:$A,"&gt;="&amp;$C59,'Visit Schedule'!$A:$A,"&lt;="&amp;$D59))</f>
        <v/>
      </c>
      <c r="F59" s="33">
        <f>IF(OR($B59="",$C59="",$D59=""),"",SUMIFS('Visit Schedule'!$F:$F,'Visit Schedule'!$B:$B,$B59,'Visit Schedule'!$G:$G,"Done",'Visit Schedule'!$A:$A,"&gt;="&amp;$C59,'Visit Schedule'!$A:$A,"&lt;="&amp;$D59,'Visit Schedule'!$H:$H,"&lt;&gt;Yes"))</f>
        <v/>
      </c>
      <c r="G59" s="32" t="n"/>
      <c r="H59" s="32" t="n"/>
    </row>
    <row r="60">
      <c r="C60" s="32" t="n"/>
      <c r="D60" s="32" t="n"/>
      <c r="E60" s="33">
        <f>IF(OR($B60="",$C60="",$D60=""),"",SUMIFS('Visit Schedule'!$F:$F,'Visit Schedule'!$B:$B,$B60,'Visit Schedule'!$G:$G,"Done",'Visit Schedule'!$A:$A,"&gt;="&amp;$C60,'Visit Schedule'!$A:$A,"&lt;="&amp;$D60))</f>
        <v/>
      </c>
      <c r="F60" s="33">
        <f>IF(OR($B60="",$C60="",$D60=""),"",SUMIFS('Visit Schedule'!$F:$F,'Visit Schedule'!$B:$B,$B60,'Visit Schedule'!$G:$G,"Done",'Visit Schedule'!$A:$A,"&gt;="&amp;$C60,'Visit Schedule'!$A:$A,"&lt;="&amp;$D60,'Visit Schedule'!$H:$H,"&lt;&gt;Yes"))</f>
        <v/>
      </c>
      <c r="G60" s="32" t="n"/>
      <c r="H60" s="32" t="n"/>
    </row>
    <row r="61">
      <c r="C61" s="32" t="n"/>
      <c r="D61" s="32" t="n"/>
      <c r="E61" s="33">
        <f>IF(OR($B61="",$C61="",$D61=""),"",SUMIFS('Visit Schedule'!$F:$F,'Visit Schedule'!$B:$B,$B61,'Visit Schedule'!$G:$G,"Done",'Visit Schedule'!$A:$A,"&gt;="&amp;$C61,'Visit Schedule'!$A:$A,"&lt;="&amp;$D61))</f>
        <v/>
      </c>
      <c r="F61" s="33">
        <f>IF(OR($B61="",$C61="",$D61=""),"",SUMIFS('Visit Schedule'!$F:$F,'Visit Schedule'!$B:$B,$B61,'Visit Schedule'!$G:$G,"Done",'Visit Schedule'!$A:$A,"&gt;="&amp;$C61,'Visit Schedule'!$A:$A,"&lt;="&amp;$D61,'Visit Schedule'!$H:$H,"&lt;&gt;Yes"))</f>
        <v/>
      </c>
      <c r="G61" s="32" t="n"/>
      <c r="H61" s="32" t="n"/>
    </row>
    <row r="62">
      <c r="C62" s="32" t="n"/>
      <c r="D62" s="32" t="n"/>
      <c r="E62" s="33">
        <f>IF(OR($B62="",$C62="",$D62=""),"",SUMIFS('Visit Schedule'!$F:$F,'Visit Schedule'!$B:$B,$B62,'Visit Schedule'!$G:$G,"Done",'Visit Schedule'!$A:$A,"&gt;="&amp;$C62,'Visit Schedule'!$A:$A,"&lt;="&amp;$D62))</f>
        <v/>
      </c>
      <c r="F62" s="33">
        <f>IF(OR($B62="",$C62="",$D62=""),"",SUMIFS('Visit Schedule'!$F:$F,'Visit Schedule'!$B:$B,$B62,'Visit Schedule'!$G:$G,"Done",'Visit Schedule'!$A:$A,"&gt;="&amp;$C62,'Visit Schedule'!$A:$A,"&lt;="&amp;$D62,'Visit Schedule'!$H:$H,"&lt;&gt;Yes"))</f>
        <v/>
      </c>
      <c r="G62" s="32" t="n"/>
      <c r="H62" s="32" t="n"/>
    </row>
    <row r="63">
      <c r="C63" s="32" t="n"/>
      <c r="D63" s="32" t="n"/>
      <c r="E63" s="33">
        <f>IF(OR($B63="",$C63="",$D63=""),"",SUMIFS('Visit Schedule'!$F:$F,'Visit Schedule'!$B:$B,$B63,'Visit Schedule'!$G:$G,"Done",'Visit Schedule'!$A:$A,"&gt;="&amp;$C63,'Visit Schedule'!$A:$A,"&lt;="&amp;$D63))</f>
        <v/>
      </c>
      <c r="F63" s="33">
        <f>IF(OR($B63="",$C63="",$D63=""),"",SUMIFS('Visit Schedule'!$F:$F,'Visit Schedule'!$B:$B,$B63,'Visit Schedule'!$G:$G,"Done",'Visit Schedule'!$A:$A,"&gt;="&amp;$C63,'Visit Schedule'!$A:$A,"&lt;="&amp;$D63,'Visit Schedule'!$H:$H,"&lt;&gt;Yes"))</f>
        <v/>
      </c>
      <c r="G63" s="32" t="n"/>
      <c r="H63" s="32" t="n"/>
    </row>
    <row r="64">
      <c r="C64" s="32" t="n"/>
      <c r="D64" s="32" t="n"/>
      <c r="E64" s="33">
        <f>IF(OR($B64="",$C64="",$D64=""),"",SUMIFS('Visit Schedule'!$F:$F,'Visit Schedule'!$B:$B,$B64,'Visit Schedule'!$G:$G,"Done",'Visit Schedule'!$A:$A,"&gt;="&amp;$C64,'Visit Schedule'!$A:$A,"&lt;="&amp;$D64))</f>
        <v/>
      </c>
      <c r="F64" s="33">
        <f>IF(OR($B64="",$C64="",$D64=""),"",SUMIFS('Visit Schedule'!$F:$F,'Visit Schedule'!$B:$B,$B64,'Visit Schedule'!$G:$G,"Done",'Visit Schedule'!$A:$A,"&gt;="&amp;$C64,'Visit Schedule'!$A:$A,"&lt;="&amp;$D64,'Visit Schedule'!$H:$H,"&lt;&gt;Yes"))</f>
        <v/>
      </c>
      <c r="G64" s="32" t="n"/>
      <c r="H64" s="32" t="n"/>
    </row>
    <row r="65">
      <c r="C65" s="32" t="n"/>
      <c r="D65" s="32" t="n"/>
      <c r="E65" s="33">
        <f>IF(OR($B65="",$C65="",$D65=""),"",SUMIFS('Visit Schedule'!$F:$F,'Visit Schedule'!$B:$B,$B65,'Visit Schedule'!$G:$G,"Done",'Visit Schedule'!$A:$A,"&gt;="&amp;$C65,'Visit Schedule'!$A:$A,"&lt;="&amp;$D65))</f>
        <v/>
      </c>
      <c r="F65" s="33">
        <f>IF(OR($B65="",$C65="",$D65=""),"",SUMIFS('Visit Schedule'!$F:$F,'Visit Schedule'!$B:$B,$B65,'Visit Schedule'!$G:$G,"Done",'Visit Schedule'!$A:$A,"&gt;="&amp;$C65,'Visit Schedule'!$A:$A,"&lt;="&amp;$D65,'Visit Schedule'!$H:$H,"&lt;&gt;Yes"))</f>
        <v/>
      </c>
      <c r="G65" s="32" t="n"/>
      <c r="H65" s="32" t="n"/>
    </row>
    <row r="66">
      <c r="C66" s="32" t="n"/>
      <c r="D66" s="32" t="n"/>
      <c r="E66" s="33">
        <f>IF(OR($B66="",$C66="",$D66=""),"",SUMIFS('Visit Schedule'!$F:$F,'Visit Schedule'!$B:$B,$B66,'Visit Schedule'!$G:$G,"Done",'Visit Schedule'!$A:$A,"&gt;="&amp;$C66,'Visit Schedule'!$A:$A,"&lt;="&amp;$D66))</f>
        <v/>
      </c>
      <c r="F66" s="33">
        <f>IF(OR($B66="",$C66="",$D66=""),"",SUMIFS('Visit Schedule'!$F:$F,'Visit Schedule'!$B:$B,$B66,'Visit Schedule'!$G:$G,"Done",'Visit Schedule'!$A:$A,"&gt;="&amp;$C66,'Visit Schedule'!$A:$A,"&lt;="&amp;$D66,'Visit Schedule'!$H:$H,"&lt;&gt;Yes"))</f>
        <v/>
      </c>
      <c r="G66" s="32" t="n"/>
      <c r="H66" s="32" t="n"/>
    </row>
    <row r="67">
      <c r="C67" s="32" t="n"/>
      <c r="D67" s="32" t="n"/>
      <c r="E67" s="33">
        <f>IF(OR($B67="",$C67="",$D67=""),"",SUMIFS('Visit Schedule'!$F:$F,'Visit Schedule'!$B:$B,$B67,'Visit Schedule'!$G:$G,"Done",'Visit Schedule'!$A:$A,"&gt;="&amp;$C67,'Visit Schedule'!$A:$A,"&lt;="&amp;$D67))</f>
        <v/>
      </c>
      <c r="F67" s="33">
        <f>IF(OR($B67="",$C67="",$D67=""),"",SUMIFS('Visit Schedule'!$F:$F,'Visit Schedule'!$B:$B,$B67,'Visit Schedule'!$G:$G,"Done",'Visit Schedule'!$A:$A,"&gt;="&amp;$C67,'Visit Schedule'!$A:$A,"&lt;="&amp;$D67,'Visit Schedule'!$H:$H,"&lt;&gt;Yes"))</f>
        <v/>
      </c>
      <c r="G67" s="32" t="n"/>
      <c r="H67" s="32" t="n"/>
    </row>
    <row r="68">
      <c r="C68" s="32" t="n"/>
      <c r="D68" s="32" t="n"/>
      <c r="E68" s="33">
        <f>IF(OR($B68="",$C68="",$D68=""),"",SUMIFS('Visit Schedule'!$F:$F,'Visit Schedule'!$B:$B,$B68,'Visit Schedule'!$G:$G,"Done",'Visit Schedule'!$A:$A,"&gt;="&amp;$C68,'Visit Schedule'!$A:$A,"&lt;="&amp;$D68))</f>
        <v/>
      </c>
      <c r="F68" s="33">
        <f>IF(OR($B68="",$C68="",$D68=""),"",SUMIFS('Visit Schedule'!$F:$F,'Visit Schedule'!$B:$B,$B68,'Visit Schedule'!$G:$G,"Done",'Visit Schedule'!$A:$A,"&gt;="&amp;$C68,'Visit Schedule'!$A:$A,"&lt;="&amp;$D68,'Visit Schedule'!$H:$H,"&lt;&gt;Yes"))</f>
        <v/>
      </c>
      <c r="G68" s="32" t="n"/>
      <c r="H68" s="32" t="n"/>
    </row>
    <row r="69">
      <c r="C69" s="32" t="n"/>
      <c r="D69" s="32" t="n"/>
      <c r="E69" s="33">
        <f>IF(OR($B69="",$C69="",$D69=""),"",SUMIFS('Visit Schedule'!$F:$F,'Visit Schedule'!$B:$B,$B69,'Visit Schedule'!$G:$G,"Done",'Visit Schedule'!$A:$A,"&gt;="&amp;$C69,'Visit Schedule'!$A:$A,"&lt;="&amp;$D69))</f>
        <v/>
      </c>
      <c r="F69" s="33">
        <f>IF(OR($B69="",$C69="",$D69=""),"",SUMIFS('Visit Schedule'!$F:$F,'Visit Schedule'!$B:$B,$B69,'Visit Schedule'!$G:$G,"Done",'Visit Schedule'!$A:$A,"&gt;="&amp;$C69,'Visit Schedule'!$A:$A,"&lt;="&amp;$D69,'Visit Schedule'!$H:$H,"&lt;&gt;Yes"))</f>
        <v/>
      </c>
      <c r="G69" s="32" t="n"/>
      <c r="H69" s="32" t="n"/>
    </row>
    <row r="70">
      <c r="C70" s="32" t="n"/>
      <c r="D70" s="32" t="n"/>
      <c r="E70" s="33">
        <f>IF(OR($B70="",$C70="",$D70=""),"",SUMIFS('Visit Schedule'!$F:$F,'Visit Schedule'!$B:$B,$B70,'Visit Schedule'!$G:$G,"Done",'Visit Schedule'!$A:$A,"&gt;="&amp;$C70,'Visit Schedule'!$A:$A,"&lt;="&amp;$D70))</f>
        <v/>
      </c>
      <c r="F70" s="33">
        <f>IF(OR($B70="",$C70="",$D70=""),"",SUMIFS('Visit Schedule'!$F:$F,'Visit Schedule'!$B:$B,$B70,'Visit Schedule'!$G:$G,"Done",'Visit Schedule'!$A:$A,"&gt;="&amp;$C70,'Visit Schedule'!$A:$A,"&lt;="&amp;$D70,'Visit Schedule'!$H:$H,"&lt;&gt;Yes"))</f>
        <v/>
      </c>
      <c r="G70" s="32" t="n"/>
      <c r="H70" s="32" t="n"/>
    </row>
    <row r="71">
      <c r="C71" s="32" t="n"/>
      <c r="D71" s="32" t="n"/>
      <c r="E71" s="33">
        <f>IF(OR($B71="",$C71="",$D71=""),"",SUMIFS('Visit Schedule'!$F:$F,'Visit Schedule'!$B:$B,$B71,'Visit Schedule'!$G:$G,"Done",'Visit Schedule'!$A:$A,"&gt;="&amp;$C71,'Visit Schedule'!$A:$A,"&lt;="&amp;$D71))</f>
        <v/>
      </c>
      <c r="F71" s="33">
        <f>IF(OR($B71="",$C71="",$D71=""),"",SUMIFS('Visit Schedule'!$F:$F,'Visit Schedule'!$B:$B,$B71,'Visit Schedule'!$G:$G,"Done",'Visit Schedule'!$A:$A,"&gt;="&amp;$C71,'Visit Schedule'!$A:$A,"&lt;="&amp;$D71,'Visit Schedule'!$H:$H,"&lt;&gt;Yes"))</f>
        <v/>
      </c>
      <c r="G71" s="32" t="n"/>
      <c r="H71" s="32" t="n"/>
    </row>
    <row r="72">
      <c r="C72" s="32" t="n"/>
      <c r="D72" s="32" t="n"/>
      <c r="E72" s="33">
        <f>IF(OR($B72="",$C72="",$D72=""),"",SUMIFS('Visit Schedule'!$F:$F,'Visit Schedule'!$B:$B,$B72,'Visit Schedule'!$G:$G,"Done",'Visit Schedule'!$A:$A,"&gt;="&amp;$C72,'Visit Schedule'!$A:$A,"&lt;="&amp;$D72))</f>
        <v/>
      </c>
      <c r="F72" s="33">
        <f>IF(OR($B72="",$C72="",$D72=""),"",SUMIFS('Visit Schedule'!$F:$F,'Visit Schedule'!$B:$B,$B72,'Visit Schedule'!$G:$G,"Done",'Visit Schedule'!$A:$A,"&gt;="&amp;$C72,'Visit Schedule'!$A:$A,"&lt;="&amp;$D72,'Visit Schedule'!$H:$H,"&lt;&gt;Yes"))</f>
        <v/>
      </c>
      <c r="G72" s="32" t="n"/>
      <c r="H72" s="32" t="n"/>
    </row>
    <row r="73">
      <c r="C73" s="32" t="n"/>
      <c r="D73" s="32" t="n"/>
      <c r="E73" s="33">
        <f>IF(OR($B73="",$C73="",$D73=""),"",SUMIFS('Visit Schedule'!$F:$F,'Visit Schedule'!$B:$B,$B73,'Visit Schedule'!$G:$G,"Done",'Visit Schedule'!$A:$A,"&gt;="&amp;$C73,'Visit Schedule'!$A:$A,"&lt;="&amp;$D73))</f>
        <v/>
      </c>
      <c r="F73" s="33">
        <f>IF(OR($B73="",$C73="",$D73=""),"",SUMIFS('Visit Schedule'!$F:$F,'Visit Schedule'!$B:$B,$B73,'Visit Schedule'!$G:$G,"Done",'Visit Schedule'!$A:$A,"&gt;="&amp;$C73,'Visit Schedule'!$A:$A,"&lt;="&amp;$D73,'Visit Schedule'!$H:$H,"&lt;&gt;Yes"))</f>
        <v/>
      </c>
      <c r="G73" s="32" t="n"/>
      <c r="H73" s="32" t="n"/>
    </row>
    <row r="74">
      <c r="C74" s="32" t="n"/>
      <c r="D74" s="32" t="n"/>
      <c r="E74" s="33">
        <f>IF(OR($B74="",$C74="",$D74=""),"",SUMIFS('Visit Schedule'!$F:$F,'Visit Schedule'!$B:$B,$B74,'Visit Schedule'!$G:$G,"Done",'Visit Schedule'!$A:$A,"&gt;="&amp;$C74,'Visit Schedule'!$A:$A,"&lt;="&amp;$D74))</f>
        <v/>
      </c>
      <c r="F74" s="33">
        <f>IF(OR($B74="",$C74="",$D74=""),"",SUMIFS('Visit Schedule'!$F:$F,'Visit Schedule'!$B:$B,$B74,'Visit Schedule'!$G:$G,"Done",'Visit Schedule'!$A:$A,"&gt;="&amp;$C74,'Visit Schedule'!$A:$A,"&lt;="&amp;$D74,'Visit Schedule'!$H:$H,"&lt;&gt;Yes"))</f>
        <v/>
      </c>
      <c r="G74" s="32" t="n"/>
      <c r="H74" s="32" t="n"/>
    </row>
    <row r="75">
      <c r="C75" s="32" t="n"/>
      <c r="D75" s="32" t="n"/>
      <c r="E75" s="33">
        <f>IF(OR($B75="",$C75="",$D75=""),"",SUMIFS('Visit Schedule'!$F:$F,'Visit Schedule'!$B:$B,$B75,'Visit Schedule'!$G:$G,"Done",'Visit Schedule'!$A:$A,"&gt;="&amp;$C75,'Visit Schedule'!$A:$A,"&lt;="&amp;$D75))</f>
        <v/>
      </c>
      <c r="F75" s="33">
        <f>IF(OR($B75="",$C75="",$D75=""),"",SUMIFS('Visit Schedule'!$F:$F,'Visit Schedule'!$B:$B,$B75,'Visit Schedule'!$G:$G,"Done",'Visit Schedule'!$A:$A,"&gt;="&amp;$C75,'Visit Schedule'!$A:$A,"&lt;="&amp;$D75,'Visit Schedule'!$H:$H,"&lt;&gt;Yes"))</f>
        <v/>
      </c>
      <c r="G75" s="32" t="n"/>
      <c r="H75" s="32" t="n"/>
    </row>
    <row r="76">
      <c r="C76" s="32" t="n"/>
      <c r="D76" s="32" t="n"/>
      <c r="E76" s="33">
        <f>IF(OR($B76="",$C76="",$D76=""),"",SUMIFS('Visit Schedule'!$F:$F,'Visit Schedule'!$B:$B,$B76,'Visit Schedule'!$G:$G,"Done",'Visit Schedule'!$A:$A,"&gt;="&amp;$C76,'Visit Schedule'!$A:$A,"&lt;="&amp;$D76))</f>
        <v/>
      </c>
      <c r="F76" s="33">
        <f>IF(OR($B76="",$C76="",$D76=""),"",SUMIFS('Visit Schedule'!$F:$F,'Visit Schedule'!$B:$B,$B76,'Visit Schedule'!$G:$G,"Done",'Visit Schedule'!$A:$A,"&gt;="&amp;$C76,'Visit Schedule'!$A:$A,"&lt;="&amp;$D76,'Visit Schedule'!$H:$H,"&lt;&gt;Yes"))</f>
        <v/>
      </c>
      <c r="G76" s="32" t="n"/>
      <c r="H76" s="32" t="n"/>
    </row>
    <row r="77">
      <c r="C77" s="32" t="n"/>
      <c r="D77" s="32" t="n"/>
      <c r="E77" s="33">
        <f>IF(OR($B77="",$C77="",$D77=""),"",SUMIFS('Visit Schedule'!$F:$F,'Visit Schedule'!$B:$B,$B77,'Visit Schedule'!$G:$G,"Done",'Visit Schedule'!$A:$A,"&gt;="&amp;$C77,'Visit Schedule'!$A:$A,"&lt;="&amp;$D77))</f>
        <v/>
      </c>
      <c r="F77" s="33">
        <f>IF(OR($B77="",$C77="",$D77=""),"",SUMIFS('Visit Schedule'!$F:$F,'Visit Schedule'!$B:$B,$B77,'Visit Schedule'!$G:$G,"Done",'Visit Schedule'!$A:$A,"&gt;="&amp;$C77,'Visit Schedule'!$A:$A,"&lt;="&amp;$D77,'Visit Schedule'!$H:$H,"&lt;&gt;Yes"))</f>
        <v/>
      </c>
      <c r="G77" s="32" t="n"/>
      <c r="H77" s="32" t="n"/>
    </row>
    <row r="78">
      <c r="C78" s="32" t="n"/>
      <c r="D78" s="32" t="n"/>
      <c r="E78" s="33">
        <f>IF(OR($B78="",$C78="",$D78=""),"",SUMIFS('Visit Schedule'!$F:$F,'Visit Schedule'!$B:$B,$B78,'Visit Schedule'!$G:$G,"Done",'Visit Schedule'!$A:$A,"&gt;="&amp;$C78,'Visit Schedule'!$A:$A,"&lt;="&amp;$D78))</f>
        <v/>
      </c>
      <c r="F78" s="33">
        <f>IF(OR($B78="",$C78="",$D78=""),"",SUMIFS('Visit Schedule'!$F:$F,'Visit Schedule'!$B:$B,$B78,'Visit Schedule'!$G:$G,"Done",'Visit Schedule'!$A:$A,"&gt;="&amp;$C78,'Visit Schedule'!$A:$A,"&lt;="&amp;$D78,'Visit Schedule'!$H:$H,"&lt;&gt;Yes"))</f>
        <v/>
      </c>
      <c r="G78" s="32" t="n"/>
      <c r="H78" s="32" t="n"/>
    </row>
    <row r="79">
      <c r="C79" s="32" t="n"/>
      <c r="D79" s="32" t="n"/>
      <c r="E79" s="33">
        <f>IF(OR($B79="",$C79="",$D79=""),"",SUMIFS('Visit Schedule'!$F:$F,'Visit Schedule'!$B:$B,$B79,'Visit Schedule'!$G:$G,"Done",'Visit Schedule'!$A:$A,"&gt;="&amp;$C79,'Visit Schedule'!$A:$A,"&lt;="&amp;$D79))</f>
        <v/>
      </c>
      <c r="F79" s="33">
        <f>IF(OR($B79="",$C79="",$D79=""),"",SUMIFS('Visit Schedule'!$F:$F,'Visit Schedule'!$B:$B,$B79,'Visit Schedule'!$G:$G,"Done",'Visit Schedule'!$A:$A,"&gt;="&amp;$C79,'Visit Schedule'!$A:$A,"&lt;="&amp;$D79,'Visit Schedule'!$H:$H,"&lt;&gt;Yes"))</f>
        <v/>
      </c>
      <c r="G79" s="32" t="n"/>
      <c r="H79" s="32" t="n"/>
    </row>
    <row r="80">
      <c r="C80" s="32" t="n"/>
      <c r="D80" s="32" t="n"/>
      <c r="E80" s="33">
        <f>IF(OR($B80="",$C80="",$D80=""),"",SUMIFS('Visit Schedule'!$F:$F,'Visit Schedule'!$B:$B,$B80,'Visit Schedule'!$G:$G,"Done",'Visit Schedule'!$A:$A,"&gt;="&amp;$C80,'Visit Schedule'!$A:$A,"&lt;="&amp;$D80))</f>
        <v/>
      </c>
      <c r="F80" s="33">
        <f>IF(OR($B80="",$C80="",$D80=""),"",SUMIFS('Visit Schedule'!$F:$F,'Visit Schedule'!$B:$B,$B80,'Visit Schedule'!$G:$G,"Done",'Visit Schedule'!$A:$A,"&gt;="&amp;$C80,'Visit Schedule'!$A:$A,"&lt;="&amp;$D80,'Visit Schedule'!$H:$H,"&lt;&gt;Yes"))</f>
        <v/>
      </c>
      <c r="G80" s="32" t="n"/>
      <c r="H80" s="32" t="n"/>
    </row>
    <row r="81">
      <c r="C81" s="32" t="n"/>
      <c r="D81" s="32" t="n"/>
      <c r="E81" s="33">
        <f>IF(OR($B81="",$C81="",$D81=""),"",SUMIFS('Visit Schedule'!$F:$F,'Visit Schedule'!$B:$B,$B81,'Visit Schedule'!$G:$G,"Done",'Visit Schedule'!$A:$A,"&gt;="&amp;$C81,'Visit Schedule'!$A:$A,"&lt;="&amp;$D81))</f>
        <v/>
      </c>
      <c r="F81" s="33">
        <f>IF(OR($B81="",$C81="",$D81=""),"",SUMIFS('Visit Schedule'!$F:$F,'Visit Schedule'!$B:$B,$B81,'Visit Schedule'!$G:$G,"Done",'Visit Schedule'!$A:$A,"&gt;="&amp;$C81,'Visit Schedule'!$A:$A,"&lt;="&amp;$D81,'Visit Schedule'!$H:$H,"&lt;&gt;Yes"))</f>
        <v/>
      </c>
      <c r="G81" s="32" t="n"/>
      <c r="H81" s="32" t="n"/>
    </row>
    <row r="82">
      <c r="C82" s="32" t="n"/>
      <c r="D82" s="32" t="n"/>
      <c r="E82" s="33">
        <f>IF(OR($B82="",$C82="",$D82=""),"",SUMIFS('Visit Schedule'!$F:$F,'Visit Schedule'!$B:$B,$B82,'Visit Schedule'!$G:$G,"Done",'Visit Schedule'!$A:$A,"&gt;="&amp;$C82,'Visit Schedule'!$A:$A,"&lt;="&amp;$D82))</f>
        <v/>
      </c>
      <c r="F82" s="33">
        <f>IF(OR($B82="",$C82="",$D82=""),"",SUMIFS('Visit Schedule'!$F:$F,'Visit Schedule'!$B:$B,$B82,'Visit Schedule'!$G:$G,"Done",'Visit Schedule'!$A:$A,"&gt;="&amp;$C82,'Visit Schedule'!$A:$A,"&lt;="&amp;$D82,'Visit Schedule'!$H:$H,"&lt;&gt;Yes"))</f>
        <v/>
      </c>
      <c r="G82" s="32" t="n"/>
      <c r="H82" s="32" t="n"/>
    </row>
    <row r="83">
      <c r="C83" s="32" t="n"/>
      <c r="D83" s="32" t="n"/>
      <c r="E83" s="33">
        <f>IF(OR($B83="",$C83="",$D83=""),"",SUMIFS('Visit Schedule'!$F:$F,'Visit Schedule'!$B:$B,$B83,'Visit Schedule'!$G:$G,"Done",'Visit Schedule'!$A:$A,"&gt;="&amp;$C83,'Visit Schedule'!$A:$A,"&lt;="&amp;$D83))</f>
        <v/>
      </c>
      <c r="F83" s="33">
        <f>IF(OR($B83="",$C83="",$D83=""),"",SUMIFS('Visit Schedule'!$F:$F,'Visit Schedule'!$B:$B,$B83,'Visit Schedule'!$G:$G,"Done",'Visit Schedule'!$A:$A,"&gt;="&amp;$C83,'Visit Schedule'!$A:$A,"&lt;="&amp;$D83,'Visit Schedule'!$H:$H,"&lt;&gt;Yes"))</f>
        <v/>
      </c>
      <c r="G83" s="32" t="n"/>
      <c r="H83" s="32" t="n"/>
    </row>
    <row r="84">
      <c r="C84" s="32" t="n"/>
      <c r="D84" s="32" t="n"/>
      <c r="E84" s="33">
        <f>IF(OR($B84="",$C84="",$D84=""),"",SUMIFS('Visit Schedule'!$F:$F,'Visit Schedule'!$B:$B,$B84,'Visit Schedule'!$G:$G,"Done",'Visit Schedule'!$A:$A,"&gt;="&amp;$C84,'Visit Schedule'!$A:$A,"&lt;="&amp;$D84))</f>
        <v/>
      </c>
      <c r="F84" s="33">
        <f>IF(OR($B84="",$C84="",$D84=""),"",SUMIFS('Visit Schedule'!$F:$F,'Visit Schedule'!$B:$B,$B84,'Visit Schedule'!$G:$G,"Done",'Visit Schedule'!$A:$A,"&gt;="&amp;$C84,'Visit Schedule'!$A:$A,"&lt;="&amp;$D84,'Visit Schedule'!$H:$H,"&lt;&gt;Yes"))</f>
        <v/>
      </c>
      <c r="G84" s="32" t="n"/>
      <c r="H84" s="32" t="n"/>
    </row>
    <row r="85">
      <c r="C85" s="32" t="n"/>
      <c r="D85" s="32" t="n"/>
      <c r="E85" s="33">
        <f>IF(OR($B85="",$C85="",$D85=""),"",SUMIFS('Visit Schedule'!$F:$F,'Visit Schedule'!$B:$B,$B85,'Visit Schedule'!$G:$G,"Done",'Visit Schedule'!$A:$A,"&gt;="&amp;$C85,'Visit Schedule'!$A:$A,"&lt;="&amp;$D85))</f>
        <v/>
      </c>
      <c r="F85" s="33">
        <f>IF(OR($B85="",$C85="",$D85=""),"",SUMIFS('Visit Schedule'!$F:$F,'Visit Schedule'!$B:$B,$B85,'Visit Schedule'!$G:$G,"Done",'Visit Schedule'!$A:$A,"&gt;="&amp;$C85,'Visit Schedule'!$A:$A,"&lt;="&amp;$D85,'Visit Schedule'!$H:$H,"&lt;&gt;Yes"))</f>
        <v/>
      </c>
      <c r="G85" s="32" t="n"/>
      <c r="H85" s="32" t="n"/>
    </row>
    <row r="86">
      <c r="C86" s="32" t="n"/>
      <c r="D86" s="32" t="n"/>
      <c r="E86" s="33">
        <f>IF(OR($B86="",$C86="",$D86=""),"",SUMIFS('Visit Schedule'!$F:$F,'Visit Schedule'!$B:$B,$B86,'Visit Schedule'!$G:$G,"Done",'Visit Schedule'!$A:$A,"&gt;="&amp;$C86,'Visit Schedule'!$A:$A,"&lt;="&amp;$D86))</f>
        <v/>
      </c>
      <c r="F86" s="33">
        <f>IF(OR($B86="",$C86="",$D86=""),"",SUMIFS('Visit Schedule'!$F:$F,'Visit Schedule'!$B:$B,$B86,'Visit Schedule'!$G:$G,"Done",'Visit Schedule'!$A:$A,"&gt;="&amp;$C86,'Visit Schedule'!$A:$A,"&lt;="&amp;$D86,'Visit Schedule'!$H:$H,"&lt;&gt;Yes"))</f>
        <v/>
      </c>
      <c r="G86" s="32" t="n"/>
      <c r="H86" s="32" t="n"/>
    </row>
    <row r="87">
      <c r="C87" s="32" t="n"/>
      <c r="D87" s="32" t="n"/>
      <c r="E87" s="33">
        <f>IF(OR($B87="",$C87="",$D87=""),"",SUMIFS('Visit Schedule'!$F:$F,'Visit Schedule'!$B:$B,$B87,'Visit Schedule'!$G:$G,"Done",'Visit Schedule'!$A:$A,"&gt;="&amp;$C87,'Visit Schedule'!$A:$A,"&lt;="&amp;$D87))</f>
        <v/>
      </c>
      <c r="F87" s="33">
        <f>IF(OR($B87="",$C87="",$D87=""),"",SUMIFS('Visit Schedule'!$F:$F,'Visit Schedule'!$B:$B,$B87,'Visit Schedule'!$G:$G,"Done",'Visit Schedule'!$A:$A,"&gt;="&amp;$C87,'Visit Schedule'!$A:$A,"&lt;="&amp;$D87,'Visit Schedule'!$H:$H,"&lt;&gt;Yes"))</f>
        <v/>
      </c>
      <c r="G87" s="32" t="n"/>
      <c r="H87" s="32" t="n"/>
    </row>
    <row r="88">
      <c r="C88" s="32" t="n"/>
      <c r="D88" s="32" t="n"/>
      <c r="E88" s="33">
        <f>IF(OR($B88="",$C88="",$D88=""),"",SUMIFS('Visit Schedule'!$F:$F,'Visit Schedule'!$B:$B,$B88,'Visit Schedule'!$G:$G,"Done",'Visit Schedule'!$A:$A,"&gt;="&amp;$C88,'Visit Schedule'!$A:$A,"&lt;="&amp;$D88))</f>
        <v/>
      </c>
      <c r="F88" s="33">
        <f>IF(OR($B88="",$C88="",$D88=""),"",SUMIFS('Visit Schedule'!$F:$F,'Visit Schedule'!$B:$B,$B88,'Visit Schedule'!$G:$G,"Done",'Visit Schedule'!$A:$A,"&gt;="&amp;$C88,'Visit Schedule'!$A:$A,"&lt;="&amp;$D88,'Visit Schedule'!$H:$H,"&lt;&gt;Yes"))</f>
        <v/>
      </c>
      <c r="G88" s="32" t="n"/>
      <c r="H88" s="32" t="n"/>
    </row>
    <row r="89">
      <c r="C89" s="32" t="n"/>
      <c r="D89" s="32" t="n"/>
      <c r="E89" s="33">
        <f>IF(OR($B89="",$C89="",$D89=""),"",SUMIFS('Visit Schedule'!$F:$F,'Visit Schedule'!$B:$B,$B89,'Visit Schedule'!$G:$G,"Done",'Visit Schedule'!$A:$A,"&gt;="&amp;$C89,'Visit Schedule'!$A:$A,"&lt;="&amp;$D89))</f>
        <v/>
      </c>
      <c r="F89" s="33">
        <f>IF(OR($B89="",$C89="",$D89=""),"",SUMIFS('Visit Schedule'!$F:$F,'Visit Schedule'!$B:$B,$B89,'Visit Schedule'!$G:$G,"Done",'Visit Schedule'!$A:$A,"&gt;="&amp;$C89,'Visit Schedule'!$A:$A,"&lt;="&amp;$D89,'Visit Schedule'!$H:$H,"&lt;&gt;Yes"))</f>
        <v/>
      </c>
      <c r="G89" s="32" t="n"/>
      <c r="H89" s="32" t="n"/>
    </row>
    <row r="90">
      <c r="C90" s="32" t="n"/>
      <c r="D90" s="32" t="n"/>
      <c r="E90" s="33">
        <f>IF(OR($B90="",$C90="",$D90=""),"",SUMIFS('Visit Schedule'!$F:$F,'Visit Schedule'!$B:$B,$B90,'Visit Schedule'!$G:$G,"Done",'Visit Schedule'!$A:$A,"&gt;="&amp;$C90,'Visit Schedule'!$A:$A,"&lt;="&amp;$D90))</f>
        <v/>
      </c>
      <c r="F90" s="33">
        <f>IF(OR($B90="",$C90="",$D90=""),"",SUMIFS('Visit Schedule'!$F:$F,'Visit Schedule'!$B:$B,$B90,'Visit Schedule'!$G:$G,"Done",'Visit Schedule'!$A:$A,"&gt;="&amp;$C90,'Visit Schedule'!$A:$A,"&lt;="&amp;$D90,'Visit Schedule'!$H:$H,"&lt;&gt;Yes"))</f>
        <v/>
      </c>
      <c r="G90" s="32" t="n"/>
      <c r="H90" s="32" t="n"/>
    </row>
    <row r="91">
      <c r="C91" s="32" t="n"/>
      <c r="D91" s="32" t="n"/>
      <c r="E91" s="33">
        <f>IF(OR($B91="",$C91="",$D91=""),"",SUMIFS('Visit Schedule'!$F:$F,'Visit Schedule'!$B:$B,$B91,'Visit Schedule'!$G:$G,"Done",'Visit Schedule'!$A:$A,"&gt;="&amp;$C91,'Visit Schedule'!$A:$A,"&lt;="&amp;$D91))</f>
        <v/>
      </c>
      <c r="F91" s="33">
        <f>IF(OR($B91="",$C91="",$D91=""),"",SUMIFS('Visit Schedule'!$F:$F,'Visit Schedule'!$B:$B,$B91,'Visit Schedule'!$G:$G,"Done",'Visit Schedule'!$A:$A,"&gt;="&amp;$C91,'Visit Schedule'!$A:$A,"&lt;="&amp;$D91,'Visit Schedule'!$H:$H,"&lt;&gt;Yes"))</f>
        <v/>
      </c>
      <c r="G91" s="32" t="n"/>
      <c r="H91" s="32" t="n"/>
    </row>
    <row r="92">
      <c r="C92" s="32" t="n"/>
      <c r="D92" s="32" t="n"/>
      <c r="E92" s="33">
        <f>IF(OR($B92="",$C92="",$D92=""),"",SUMIFS('Visit Schedule'!$F:$F,'Visit Schedule'!$B:$B,$B92,'Visit Schedule'!$G:$G,"Done",'Visit Schedule'!$A:$A,"&gt;="&amp;$C92,'Visit Schedule'!$A:$A,"&lt;="&amp;$D92))</f>
        <v/>
      </c>
      <c r="F92" s="33">
        <f>IF(OR($B92="",$C92="",$D92=""),"",SUMIFS('Visit Schedule'!$F:$F,'Visit Schedule'!$B:$B,$B92,'Visit Schedule'!$G:$G,"Done",'Visit Schedule'!$A:$A,"&gt;="&amp;$C92,'Visit Schedule'!$A:$A,"&lt;="&amp;$D92,'Visit Schedule'!$H:$H,"&lt;&gt;Yes"))</f>
        <v/>
      </c>
      <c r="G92" s="32" t="n"/>
      <c r="H92" s="32" t="n"/>
    </row>
    <row r="93">
      <c r="C93" s="32" t="n"/>
      <c r="D93" s="32" t="n"/>
      <c r="E93" s="33">
        <f>IF(OR($B93="",$C93="",$D93=""),"",SUMIFS('Visit Schedule'!$F:$F,'Visit Schedule'!$B:$B,$B93,'Visit Schedule'!$G:$G,"Done",'Visit Schedule'!$A:$A,"&gt;="&amp;$C93,'Visit Schedule'!$A:$A,"&lt;="&amp;$D93))</f>
        <v/>
      </c>
      <c r="F93" s="33">
        <f>IF(OR($B93="",$C93="",$D93=""),"",SUMIFS('Visit Schedule'!$F:$F,'Visit Schedule'!$B:$B,$B93,'Visit Schedule'!$G:$G,"Done",'Visit Schedule'!$A:$A,"&gt;="&amp;$C93,'Visit Schedule'!$A:$A,"&lt;="&amp;$D93,'Visit Schedule'!$H:$H,"&lt;&gt;Yes"))</f>
        <v/>
      </c>
      <c r="G93" s="32" t="n"/>
      <c r="H93" s="32" t="n"/>
    </row>
    <row r="94">
      <c r="C94" s="32" t="n"/>
      <c r="D94" s="32" t="n"/>
      <c r="E94" s="33">
        <f>IF(OR($B94="",$C94="",$D94=""),"",SUMIFS('Visit Schedule'!$F:$F,'Visit Schedule'!$B:$B,$B94,'Visit Schedule'!$G:$G,"Done",'Visit Schedule'!$A:$A,"&gt;="&amp;$C94,'Visit Schedule'!$A:$A,"&lt;="&amp;$D94))</f>
        <v/>
      </c>
      <c r="F94" s="33">
        <f>IF(OR($B94="",$C94="",$D94=""),"",SUMIFS('Visit Schedule'!$F:$F,'Visit Schedule'!$B:$B,$B94,'Visit Schedule'!$G:$G,"Done",'Visit Schedule'!$A:$A,"&gt;="&amp;$C94,'Visit Schedule'!$A:$A,"&lt;="&amp;$D94,'Visit Schedule'!$H:$H,"&lt;&gt;Yes"))</f>
        <v/>
      </c>
      <c r="G94" s="32" t="n"/>
      <c r="H94" s="32" t="n"/>
    </row>
    <row r="95">
      <c r="C95" s="32" t="n"/>
      <c r="D95" s="32" t="n"/>
      <c r="E95" s="33">
        <f>IF(OR($B95="",$C95="",$D95=""),"",SUMIFS('Visit Schedule'!$F:$F,'Visit Schedule'!$B:$B,$B95,'Visit Schedule'!$G:$G,"Done",'Visit Schedule'!$A:$A,"&gt;="&amp;$C95,'Visit Schedule'!$A:$A,"&lt;="&amp;$D95))</f>
        <v/>
      </c>
      <c r="F95" s="33">
        <f>IF(OR($B95="",$C95="",$D95=""),"",SUMIFS('Visit Schedule'!$F:$F,'Visit Schedule'!$B:$B,$B95,'Visit Schedule'!$G:$G,"Done",'Visit Schedule'!$A:$A,"&gt;="&amp;$C95,'Visit Schedule'!$A:$A,"&lt;="&amp;$D95,'Visit Schedule'!$H:$H,"&lt;&gt;Yes"))</f>
        <v/>
      </c>
      <c r="G95" s="32" t="n"/>
      <c r="H95" s="32" t="n"/>
    </row>
    <row r="96">
      <c r="C96" s="32" t="n"/>
      <c r="D96" s="32" t="n"/>
      <c r="E96" s="33">
        <f>IF(OR($B96="",$C96="",$D96=""),"",SUMIFS('Visit Schedule'!$F:$F,'Visit Schedule'!$B:$B,$B96,'Visit Schedule'!$G:$G,"Done",'Visit Schedule'!$A:$A,"&gt;="&amp;$C96,'Visit Schedule'!$A:$A,"&lt;="&amp;$D96))</f>
        <v/>
      </c>
      <c r="F96" s="33">
        <f>IF(OR($B96="",$C96="",$D96=""),"",SUMIFS('Visit Schedule'!$F:$F,'Visit Schedule'!$B:$B,$B96,'Visit Schedule'!$G:$G,"Done",'Visit Schedule'!$A:$A,"&gt;="&amp;$C96,'Visit Schedule'!$A:$A,"&lt;="&amp;$D96,'Visit Schedule'!$H:$H,"&lt;&gt;Yes"))</f>
        <v/>
      </c>
      <c r="G96" s="32" t="n"/>
      <c r="H96" s="32" t="n"/>
    </row>
    <row r="97">
      <c r="C97" s="32" t="n"/>
      <c r="D97" s="32" t="n"/>
      <c r="E97" s="33">
        <f>IF(OR($B97="",$C97="",$D97=""),"",SUMIFS('Visit Schedule'!$F:$F,'Visit Schedule'!$B:$B,$B97,'Visit Schedule'!$G:$G,"Done",'Visit Schedule'!$A:$A,"&gt;="&amp;$C97,'Visit Schedule'!$A:$A,"&lt;="&amp;$D97))</f>
        <v/>
      </c>
      <c r="F97" s="33">
        <f>IF(OR($B97="",$C97="",$D97=""),"",SUMIFS('Visit Schedule'!$F:$F,'Visit Schedule'!$B:$B,$B97,'Visit Schedule'!$G:$G,"Done",'Visit Schedule'!$A:$A,"&gt;="&amp;$C97,'Visit Schedule'!$A:$A,"&lt;="&amp;$D97,'Visit Schedule'!$H:$H,"&lt;&gt;Yes"))</f>
        <v/>
      </c>
      <c r="G97" s="32" t="n"/>
      <c r="H97" s="32" t="n"/>
    </row>
    <row r="98">
      <c r="C98" s="32" t="n"/>
      <c r="D98" s="32" t="n"/>
      <c r="E98" s="33">
        <f>IF(OR($B98="",$C98="",$D98=""),"",SUMIFS('Visit Schedule'!$F:$F,'Visit Schedule'!$B:$B,$B98,'Visit Schedule'!$G:$G,"Done",'Visit Schedule'!$A:$A,"&gt;="&amp;$C98,'Visit Schedule'!$A:$A,"&lt;="&amp;$D98))</f>
        <v/>
      </c>
      <c r="F98" s="33">
        <f>IF(OR($B98="",$C98="",$D98=""),"",SUMIFS('Visit Schedule'!$F:$F,'Visit Schedule'!$B:$B,$B98,'Visit Schedule'!$G:$G,"Done",'Visit Schedule'!$A:$A,"&gt;="&amp;$C98,'Visit Schedule'!$A:$A,"&lt;="&amp;$D98,'Visit Schedule'!$H:$H,"&lt;&gt;Yes"))</f>
        <v/>
      </c>
      <c r="G98" s="32" t="n"/>
      <c r="H98" s="32" t="n"/>
    </row>
    <row r="99">
      <c r="C99" s="32" t="n"/>
      <c r="D99" s="32" t="n"/>
      <c r="E99" s="33">
        <f>IF(OR($B99="",$C99="",$D99=""),"",SUMIFS('Visit Schedule'!$F:$F,'Visit Schedule'!$B:$B,$B99,'Visit Schedule'!$G:$G,"Done",'Visit Schedule'!$A:$A,"&gt;="&amp;$C99,'Visit Schedule'!$A:$A,"&lt;="&amp;$D99))</f>
        <v/>
      </c>
      <c r="F99" s="33">
        <f>IF(OR($B99="",$C99="",$D99=""),"",SUMIFS('Visit Schedule'!$F:$F,'Visit Schedule'!$B:$B,$B99,'Visit Schedule'!$G:$G,"Done",'Visit Schedule'!$A:$A,"&gt;="&amp;$C99,'Visit Schedule'!$A:$A,"&lt;="&amp;$D99,'Visit Schedule'!$H:$H,"&lt;&gt;Yes"))</f>
        <v/>
      </c>
      <c r="G99" s="32" t="n"/>
      <c r="H99" s="32" t="n"/>
    </row>
    <row r="100">
      <c r="C100" s="32" t="n"/>
      <c r="D100" s="32" t="n"/>
      <c r="E100" s="33">
        <f>IF(OR($B100="",$C100="",$D100=""),"",SUMIFS('Visit Schedule'!$F:$F,'Visit Schedule'!$B:$B,$B100,'Visit Schedule'!$G:$G,"Done",'Visit Schedule'!$A:$A,"&gt;="&amp;$C100,'Visit Schedule'!$A:$A,"&lt;="&amp;$D100))</f>
        <v/>
      </c>
      <c r="F100" s="33">
        <f>IF(OR($B100="",$C100="",$D100=""),"",SUMIFS('Visit Schedule'!$F:$F,'Visit Schedule'!$B:$B,$B100,'Visit Schedule'!$G:$G,"Done",'Visit Schedule'!$A:$A,"&gt;="&amp;$C100,'Visit Schedule'!$A:$A,"&lt;="&amp;$D100,'Visit Schedule'!$H:$H,"&lt;&gt;Yes"))</f>
        <v/>
      </c>
      <c r="G100" s="32" t="n"/>
      <c r="H100" s="32" t="n"/>
    </row>
  </sheetData>
  <conditionalFormatting sqref="A2:J100">
    <cfRule type="expression" priority="1" dxfId="2" stopIfTrue="1">
      <formula>$I2="Overdue"</formula>
    </cfRule>
    <cfRule type="expression" priority="2" dxfId="4" stopIfTrue="1">
      <formula>$I2="Paid"</formula>
    </cfRule>
    <cfRule type="expression" priority="3" dxfId="5" stopIfTrue="1">
      <formula>$I2="Sent"</formula>
    </cfRule>
  </conditionalFormatting>
  <dataValidations count="2">
    <dataValidation sqref="B2:B100" showDropDown="0" showInputMessage="0" showErrorMessage="0" allowBlank="1" type="list">
      <formula1>ClientList</formula1>
    </dataValidation>
    <dataValidation sqref="I2:I100" showDropDown="0" showInputMessage="0" showErrorMessage="0" allowBlank="1" type="list">
      <formula1>"Draft,Sent,Paid,Overdue"</formula1>
    </dataValidation>
  </dataValidations>
  <pageMargins left="0.75" right="0.75" top="1" bottom="1" header="0.5" footer="0.5"/>
</worksheet>
</file>

<file path=xl/worksheets/sheet7.xml><?xml version="1.0" encoding="utf-8"?>
<worksheet xmlns="http://schemas.openxmlformats.org/spreadsheetml/2006/main">
  <sheetPr>
    <tabColor rgb="005C7A5E"/>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2" customWidth="1" min="3" max="3"/>
    <col width="36" customWidth="1" min="4" max="4"/>
  </cols>
  <sheetData>
    <row r="1" ht="26" customHeight="1">
      <c r="A1" s="28" t="inlineStr">
        <is>
          <t>Service</t>
        </is>
      </c>
      <c r="B1" s="28" t="inlineStr">
        <is>
          <t>Rate ($)</t>
        </is>
      </c>
      <c r="C1" s="28" t="inlineStr">
        <is>
          <t>Duration</t>
        </is>
      </c>
      <c r="D1" s="28" t="inlineStr">
        <is>
          <t>Notes</t>
        </is>
      </c>
    </row>
    <row r="2">
      <c r="A2" s="34" t="inlineStr">
        <is>
          <t>Walk 30 min</t>
        </is>
      </c>
      <c r="B2" s="35" t="n">
        <v>22</v>
      </c>
      <c r="C2" s="34" t="inlineStr">
        <is>
          <t>30 minutes</t>
        </is>
      </c>
      <c r="D2" s="34" t="inlineStr">
        <is>
          <t>One dog; +$8 per extra dog</t>
        </is>
      </c>
    </row>
    <row r="3">
      <c r="A3" s="34" t="inlineStr">
        <is>
          <t>Walk 60 min</t>
        </is>
      </c>
      <c r="B3" s="35" t="n">
        <v>35</v>
      </c>
      <c r="C3" s="34" t="inlineStr">
        <is>
          <t>60 minutes</t>
        </is>
      </c>
      <c r="D3" s="34" t="inlineStr">
        <is>
          <t>One dog; +$10 per extra dog</t>
        </is>
      </c>
    </row>
    <row r="4">
      <c r="A4" s="34" t="inlineStr">
        <is>
          <t>Drop-in Visit</t>
        </is>
      </c>
      <c r="B4" s="35" t="n">
        <v>28</v>
      </c>
      <c r="C4" s="34" t="inlineStr">
        <is>
          <t>30 minutes</t>
        </is>
      </c>
      <c r="D4" s="34" t="inlineStr">
        <is>
          <t>Feeding, litter, playtime, meds</t>
        </is>
      </c>
    </row>
    <row r="5">
      <c r="A5" s="34" t="inlineStr">
        <is>
          <t>Overnight Stay</t>
        </is>
      </c>
      <c r="B5" s="35" t="n">
        <v>85</v>
      </c>
      <c r="C5" s="34" t="inlineStr">
        <is>
          <t>12 hours</t>
        </is>
      </c>
      <c r="D5" s="34" t="inlineStr">
        <is>
          <t>In client's home, 7pm-7am</t>
        </is>
      </c>
    </row>
    <row r="6">
      <c r="A6" s="34" t="inlineStr">
        <is>
          <t>Boarding (per night)</t>
        </is>
      </c>
      <c r="B6" s="35" t="n">
        <v>65</v>
      </c>
      <c r="C6" s="34" t="inlineStr">
        <is>
          <t>24 hours</t>
        </is>
      </c>
      <c r="D6" s="34" t="inlineStr">
        <is>
          <t>In sitter's home</t>
        </is>
      </c>
    </row>
    <row r="7">
      <c r="B7" s="36" t="n"/>
    </row>
    <row r="8">
      <c r="B8" s="36" t="n"/>
    </row>
    <row r="9">
      <c r="B9" s="36" t="n"/>
    </row>
    <row r="10">
      <c r="B10" s="36" t="n"/>
    </row>
    <row r="11">
      <c r="B11" s="36" t="n"/>
    </row>
    <row r="12">
      <c r="B12" s="36" t="n"/>
    </row>
    <row r="13">
      <c r="B13" s="36" t="n"/>
    </row>
    <row r="14">
      <c r="B14" s="36" t="n"/>
    </row>
    <row r="15">
      <c r="B15" s="36" t="n"/>
    </row>
    <row r="16">
      <c r="B16" s="36" t="n"/>
    </row>
    <row r="17">
      <c r="B17" s="36" t="n"/>
    </row>
    <row r="18">
      <c r="B18" s="36" t="n"/>
    </row>
    <row r="19">
      <c r="B19" s="36" t="n"/>
    </row>
    <row r="20">
      <c r="B20" s="36" t="n"/>
    </row>
    <row r="21">
      <c r="B21" s="36" t="n"/>
    </row>
    <row r="22">
      <c r="B22" s="36" t="n"/>
    </row>
    <row r="23">
      <c r="B23" s="36" t="n"/>
    </row>
    <row r="24">
      <c r="B24" s="36" t="n"/>
    </row>
    <row r="25">
      <c r="B25" s="36" t="n"/>
    </row>
    <row r="26">
      <c r="B26" s="36" t="n"/>
    </row>
    <row r="27">
      <c r="B27" s="36" t="n"/>
    </row>
    <row r="28">
      <c r="B28" s="36" t="n"/>
    </row>
    <row r="29">
      <c r="B29" s="36" t="n"/>
    </row>
    <row r="30">
      <c r="B30" s="36" t="n"/>
    </row>
    <row r="32">
      <c r="A32" s="37" t="inlineStr">
        <is>
          <t>Edit names and rates freely — the Visit Schedule looks prices up from this list automatically. Service names here must match the dropdown picks exactly (they will, if you always pick from the dropdown).</t>
        </is>
      </c>
    </row>
  </sheetData>
  <mergeCells count="1">
    <mergeCell ref="A32:D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2026-07-02T12:01:56Z</dcterms:created>
  <dcterms:modified xsi:type="dcterms:W3CDTF">2026-07-02T12:01:56Z</dcterms:modified>
</cp:coreProperties>
</file>